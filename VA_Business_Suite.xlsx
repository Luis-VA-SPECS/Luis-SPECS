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 tabRatio="500" activeTab="4"/>
  </bookViews>
  <sheets>
    <sheet name="Home" sheetId="1" r:id="rId1"/>
    <sheet name="Dashboard" sheetId="2" r:id="rId2"/>
    <sheet name="Timesheet" sheetId="3" r:id="rId3"/>
    <sheet name="Invoice" sheetId="4" r:id="rId4"/>
    <sheet name="Bookkeeping" sheetId="5" r:id="rId5"/>
    <sheet name="Client CRM" sheetId="6" r:id="rId6"/>
    <sheet name="Task Tracker" sheetId="7" r:id="rId7"/>
    <sheet name="Content Calendar" sheetId="8" r:id="rId8"/>
    <sheet name="Setting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<sst xmlns="http://schemas.openxmlformats.org/spreadsheetml/2006/main" count="211" uniqueCount="167">
  <si>
    <t>VA BUSINESS SUITE  ·  v2.0</t>
  </si>
  <si>
    <t>GO TO</t>
  </si>
  <si>
    <t>📊 Dashboard</t>
  </si>
  <si>
    <t>⏱ Timesheet</t>
  </si>
  <si>
    <t>🧾 Invoice</t>
  </si>
  <si>
    <t>Live KPIs &amp; charts</t>
  </si>
  <si>
    <t>Log hours</t>
  </si>
  <si>
    <t>Bill clients</t>
  </si>
  <si>
    <t>Open →</t>
  </si>
  <si>
    <t>💰 Bookkeeping</t>
  </si>
  <si>
    <t>👥 Client CRM</t>
  </si>
  <si>
    <t>✅ Task Tracker</t>
  </si>
  <si>
    <t>Income &amp; expenses</t>
  </si>
  <si>
    <t>Contacts &amp; rates</t>
  </si>
  <si>
    <t>Deadlines &amp; status</t>
  </si>
  <si>
    <t>📅 Content Calendar</t>
  </si>
  <si>
    <t>⚙ Settings</t>
  </si>
  <si>
    <t>Social planning</t>
  </si>
  <si>
    <t>Business info</t>
  </si>
  <si>
    <t>Tip: update Settings once and your business name/rate flow through automatically. Click any tile to jump straight there.</t>
  </si>
  <si>
    <t>Business Dashboard</t>
  </si>
  <si>
    <t>Live overview — pulls automatically from Timesheet, Bookkeeping, and Task Tracker.</t>
  </si>
  <si>
    <t>TOTAL HOURS LOGGED</t>
  </si>
  <si>
    <t>TOTAL BILLED</t>
  </si>
  <si>
    <t>TOTAL INCOME</t>
  </si>
  <si>
    <t>TOTAL EXPENSES</t>
  </si>
  <si>
    <t>NET PROFIT</t>
  </si>
  <si>
    <t>CASH BALANCE</t>
  </si>
  <si>
    <t>Hours by Client (edit client names below to match your Timesheet)</t>
  </si>
  <si>
    <t>Client</t>
  </si>
  <si>
    <t>Hours</t>
  </si>
  <si>
    <t>Acme Corp</t>
  </si>
  <si>
    <t>Client 2</t>
  </si>
  <si>
    <t>Client 3</t>
  </si>
  <si>
    <t>Client 4</t>
  </si>
  <si>
    <t>Client 5</t>
  </si>
  <si>
    <t>Income vs Expense by Category</t>
  </si>
  <si>
    <t>Task Status Breakdown</t>
  </si>
  <si>
    <t>Client Snapshot</t>
  </si>
  <si>
    <t>Select a client:</t>
  </si>
  <si>
    <t>Hours Logged</t>
  </si>
  <si>
    <t>Total Billed</t>
  </si>
  <si>
    <t>Open Tasks</t>
  </si>
  <si>
    <t>Overdue Tasks</t>
  </si>
  <si>
    <t>Legend: gold cells (client names) are editable — update them to match your actual Timesheet client names for the chart to reflect your data.</t>
  </si>
  <si>
    <t>Time Sheet</t>
  </si>
  <si>
    <t>Log hours per client/task — Total calculates automatically.</t>
  </si>
  <si>
    <t>Date</t>
  </si>
  <si>
    <t>Task / Description</t>
  </si>
  <si>
    <t>Start Time</t>
  </si>
  <si>
    <t>End Time</t>
  </si>
  <si>
    <t>Hourly Rate ($)</t>
  </si>
  <si>
    <t>Total ($)</t>
  </si>
  <si>
    <t>2026-07-01</t>
  </si>
  <si>
    <t>Inbox management &amp; scheduling</t>
  </si>
  <si>
    <t>09:00</t>
  </si>
  <si>
    <t>12:00</t>
  </si>
  <si>
    <t>TOTAL</t>
  </si>
  <si>
    <t>Legend: gold cells = enter your data. Row 6 is an example — replace or delete it.</t>
  </si>
  <si>
    <t>INVOICE</t>
  </si>
  <si>
    <t>Invoice #:</t>
  </si>
  <si>
    <t>Status:</t>
  </si>
  <si>
    <t>Unpaid</t>
  </si>
  <si>
    <t>Date:</t>
  </si>
  <si>
    <t>Due Date:</t>
  </si>
  <si>
    <t>2026-07-15</t>
  </si>
  <si>
    <t>Bill To:</t>
  </si>
  <si>
    <t>Client Name</t>
  </si>
  <si>
    <t>Client Company</t>
  </si>
  <si>
    <t>Client Email</t>
  </si>
  <si>
    <t>Description</t>
  </si>
  <si>
    <t>Rate ($)</t>
  </si>
  <si>
    <t>Amount ($)</t>
  </si>
  <si>
    <t>Subtotal</t>
  </si>
  <si>
    <t>Discount (%)</t>
  </si>
  <si>
    <t>TOTAL DUE</t>
  </si>
  <si>
    <t>Payment Details:</t>
  </si>
  <si>
    <t>PayPal / Payoneer / Bank details go here</t>
  </si>
  <si>
    <t>Thank you for your business!</t>
  </si>
  <si>
    <t>Legend: gold cells = enter your data. Row 11 is an example. Amount &amp; totals calculate automatically.</t>
  </si>
  <si>
    <t>Income &amp; Expense Tracker</t>
  </si>
  <si>
    <t>Log every transaction — running balance calculates automatically.</t>
  </si>
  <si>
    <t>Client / Source</t>
  </si>
  <si>
    <t>Category</t>
  </si>
  <si>
    <t>Type</t>
  </si>
  <si>
    <t>Running Balance ($)</t>
  </si>
  <si>
    <t>June invoice payment</t>
  </si>
  <si>
    <t>Client Payment</t>
  </si>
  <si>
    <t>Income</t>
  </si>
  <si>
    <t>Internet/Phone</t>
  </si>
  <si>
    <t>Expense</t>
  </si>
  <si>
    <t>Category Summary</t>
  </si>
  <si>
    <t>Income ($)</t>
  </si>
  <si>
    <t>Expense ($)</t>
  </si>
  <si>
    <t>Software/Tools</t>
  </si>
  <si>
    <t>Equipment</t>
  </si>
  <si>
    <t>Training</t>
  </si>
  <si>
    <t>Marketing</t>
  </si>
  <si>
    <t>Taxes</t>
  </si>
  <si>
    <t>Other</t>
  </si>
  <si>
    <t>Legend: gold cells = enter your data. Row 6 is an example. Category Summary feeds the Dashboard charts.</t>
  </si>
  <si>
    <t>Monthly Trend (edit month labels to match your data)</t>
  </si>
  <si>
    <t>Month</t>
  </si>
  <si>
    <t>Jul 2026</t>
  </si>
  <si>
    <t>Aug 2026</t>
  </si>
  <si>
    <t>Sep 2026</t>
  </si>
  <si>
    <t>Oct 2026</t>
  </si>
  <si>
    <t>Nov 2026</t>
  </si>
  <si>
    <t>Dec 2026</t>
  </si>
  <si>
    <t>Client Contact &amp; CRM Sheet</t>
  </si>
  <si>
    <t>Track client details, platform, rate, and contract status.</t>
  </si>
  <si>
    <t>Company</t>
  </si>
  <si>
    <t>Platform</t>
  </si>
  <si>
    <t>Contact Email</t>
  </si>
  <si>
    <t>Contract Start</t>
  </si>
  <si>
    <t>Contract End</t>
  </si>
  <si>
    <t>Notes</t>
  </si>
  <si>
    <t>Jane Smith</t>
  </si>
  <si>
    <t>Upwork</t>
  </si>
  <si>
    <t>jane@example.com</t>
  </si>
  <si>
    <t>2026-01-01</t>
  </si>
  <si>
    <t>Ongoing</t>
  </si>
  <si>
    <t>Prefers weekly check-in calls</t>
  </si>
  <si>
    <t>Legend: gold cells = enter your data. Row 6 is an example. Platform has a dropdown.</t>
  </si>
  <si>
    <t>Task &amp; Project Tracker</t>
  </si>
  <si>
    <t>Track tasks per client from To Do through Done. Overdue tasks auto-highlight.</t>
  </si>
  <si>
    <t>Task</t>
  </si>
  <si>
    <t>Priority</t>
  </si>
  <si>
    <t>Status</t>
  </si>
  <si>
    <t>Due Date</t>
  </si>
  <si>
    <t>Assigned Date</t>
  </si>
  <si>
    <t>Priority Level</t>
  </si>
  <si>
    <t>Edit July promo video</t>
  </si>
  <si>
    <t>High</t>
  </si>
  <si>
    <t>In Progress</t>
  </si>
  <si>
    <t>2026-07-10</t>
  </si>
  <si>
    <t>Client sent raw footage via Drive</t>
  </si>
  <si>
    <t>Status Summary</t>
  </si>
  <si>
    <t>To Do</t>
  </si>
  <si>
    <t>Waiting on Client</t>
  </si>
  <si>
    <t>Done</t>
  </si>
  <si>
    <t>Priority Level column powers the traffic-light indicator (1=Low … 4=Urgent). Leave it as-is.</t>
  </si>
  <si>
    <t>Social Media Content Calendar</t>
  </si>
  <si>
    <t>Plan posts by date, platform, and status.</t>
  </si>
  <si>
    <t>Content Type</t>
  </si>
  <si>
    <t>Caption / Topic</t>
  </si>
  <si>
    <t>Post Time</t>
  </si>
  <si>
    <t>Instagram</t>
  </si>
  <si>
    <t>Reel</t>
  </si>
  <si>
    <t>Behind-the-scenes clip</t>
  </si>
  <si>
    <t>Scheduled</t>
  </si>
  <si>
    <t>10:00</t>
  </si>
  <si>
    <t>Use trending audio</t>
  </si>
  <si>
    <t>Legend: gold cells = enter your data. Row 6 is an example. Platform &amp; Status have dropdowns.</t>
  </si>
  <si>
    <t>Settings</t>
  </si>
  <si>
    <t>Edit these once — they automatically update your Home page and Invoice.</t>
  </si>
  <si>
    <t>Business Name</t>
  </si>
  <si>
    <t>[Your Business Name]</t>
  </si>
  <si>
    <t>Your Name</t>
  </si>
  <si>
    <t>Luis Andrei Abarquez</t>
  </si>
  <si>
    <t>Tagline</t>
  </si>
  <si>
    <t>Virtual Assistant · Technical Support · Content &amp; Video Editing</t>
  </si>
  <si>
    <t>Default Hourly Rate ($)</t>
  </si>
  <si>
    <t>Invoice Prefix</t>
  </si>
  <si>
    <t>INV-</t>
  </si>
  <si>
    <t>Currency Symbol</t>
  </si>
  <si>
    <t>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</si>
</sst>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$&quot;#,##0.00"/>
  </numFmts>
  <fonts count="42">
    <font>
      <sz val="11"/>
      <color theme="1"/>
      <name val="Calibri"/>
      <charset val="1"/>
    </font>
    <font>
      <b/>
      <sz val="18"/>
      <color rgb="FF1F2A44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sz val="11"/>
      <color rgb="FF1155CC"/>
      <name val="Arial"/>
      <charset val="1"/>
    </font>
    <font>
      <b/>
      <sz val="20"/>
      <color rgb="FF1F2A44"/>
      <name val="Arial"/>
      <charset val="1"/>
    </font>
    <font>
      <i/>
      <sz val="12"/>
      <color rgb="FF666666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1F2A44"/>
      <name val="Arial"/>
      <charset val="1"/>
    </font>
    <font>
      <sz val="11"/>
      <color rgb="FF000000"/>
      <name val="Arial"/>
      <charset val="1"/>
    </font>
    <font>
      <b/>
      <sz val="26"/>
      <color rgb="FF1F2A44"/>
      <name val="Arial"/>
      <charset val="1"/>
    </font>
    <font>
      <b/>
      <sz val="13"/>
      <color rgb="FF1F2A44"/>
      <name val="Arial"/>
      <charset val="1"/>
    </font>
    <font>
      <b/>
      <sz val="9"/>
      <color rgb="FFFFFFFF"/>
      <name val="Arial"/>
      <charset val="1"/>
    </font>
    <font>
      <b/>
      <sz val="16"/>
      <color rgb="FF1F2A44"/>
      <name val="Arial"/>
      <charset val="1"/>
    </font>
    <font>
      <b/>
      <sz val="11"/>
      <color rgb="FF1155CC"/>
      <name val="Arial"/>
      <charset val="1"/>
    </font>
    <font>
      <b/>
      <sz val="26"/>
      <color rgb="FFFFFFFF"/>
      <name val="Arial"/>
      <charset val="1"/>
    </font>
    <font>
      <i/>
      <sz val="12"/>
      <color rgb="FFFCE9B0"/>
      <name val="Arial"/>
      <charset val="1"/>
    </font>
    <font>
      <b/>
      <sz val="14"/>
      <color rgb="FFC9A227"/>
      <name val="Arial"/>
      <charset val="1"/>
    </font>
    <font>
      <b/>
      <sz val="12"/>
      <color rgb="FF1F2A44"/>
      <name val="Arial"/>
      <charset val="1"/>
    </font>
    <font>
      <u/>
      <sz val="10"/>
      <color rgb="FF1155CC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E9B0"/>
        <bgColor rgb="FFF9D6D5"/>
      </patternFill>
    </fill>
    <fill>
      <patternFill patternType="solid">
        <fgColor rgb="FF1F2A44"/>
        <bgColor rgb="FF003366"/>
      </patternFill>
    </fill>
    <fill>
      <patternFill patternType="solid">
        <fgColor rgb="FFF4F4F4"/>
        <bgColor rgb="FFFB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C9A227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Border="0" applyAlignment="0" applyProtection="0"/>
    <xf numFmtId="44" fontId="21" fillId="0" borderId="0" applyBorder="0" applyAlignment="0" applyProtection="0"/>
    <xf numFmtId="9" fontId="21" fillId="0" borderId="0" applyBorder="0" applyAlignment="0" applyProtection="0"/>
    <xf numFmtId="41" fontId="21" fillId="0" borderId="0" applyBorder="0" applyAlignment="0" applyProtection="0"/>
    <xf numFmtId="42" fontId="21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7" applyNumberFormat="0" applyAlignment="0" applyProtection="0">
      <alignment vertical="center"/>
    </xf>
    <xf numFmtId="0" fontId="32" fillId="7" borderId="8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4" fillId="8" borderId="9" applyNumberFormat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/>
    <xf numFmtId="0" fontId="4" fillId="2" borderId="1" xfId="0" applyFont="1" applyFill="1" applyBorder="1"/>
    <xf numFmtId="0" fontId="0" fillId="0" borderId="0" xfId="0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0" fillId="0" borderId="2" xfId="0" applyBorder="1" applyAlignment="1"/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/>
    <xf numFmtId="20" fontId="4" fillId="2" borderId="1" xfId="0" applyNumberFormat="1" applyFont="1" applyFill="1" applyBorder="1" applyAlignment="1"/>
    <xf numFmtId="0" fontId="8" fillId="0" borderId="0" xfId="0" applyFont="1" applyBorder="1" applyAlignment="1"/>
    <xf numFmtId="0" fontId="7" fillId="3" borderId="1" xfId="0" applyFont="1" applyFill="1" applyBorder="1"/>
    <xf numFmtId="0" fontId="0" fillId="0" borderId="1" xfId="0" applyBorder="1"/>
    <xf numFmtId="0" fontId="9" fillId="0" borderId="0" xfId="0" applyFont="1" applyAlignment="1"/>
    <xf numFmtId="0" fontId="0" fillId="0" borderId="1" xfId="0" applyFont="1" applyBorder="1" applyAlignment="1"/>
    <xf numFmtId="176" fontId="4" fillId="2" borderId="1" xfId="0" applyNumberFormat="1" applyFont="1" applyFill="1" applyBorder="1" applyAlignment="1"/>
    <xf numFmtId="176" fontId="10" fillId="0" borderId="1" xfId="0" applyNumberFormat="1" applyFont="1" applyBorder="1" applyAlignment="1"/>
    <xf numFmtId="58" fontId="4" fillId="2" borderId="1" xfId="0" applyNumberFormat="1" applyFont="1" applyFill="1" applyBorder="1" applyAlignment="1"/>
    <xf numFmtId="176" fontId="0" fillId="0" borderId="1" xfId="0" applyNumberFormat="1" applyBorder="1" applyAlignment="1"/>
    <xf numFmtId="0" fontId="9" fillId="0" borderId="0" xfId="0" applyFont="1"/>
    <xf numFmtId="176" fontId="0" fillId="0" borderId="1" xfId="0" applyNumberFormat="1" applyBorder="1"/>
    <xf numFmtId="0" fontId="11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4" fillId="2" borderId="0" xfId="0" applyFont="1" applyFill="1"/>
    <xf numFmtId="0" fontId="6" fillId="0" borderId="0" xfId="0" applyFont="1" applyAlignment="1"/>
    <xf numFmtId="0" fontId="3" fillId="0" borderId="2" xfId="0" applyFont="1" applyBorder="1" applyAlignment="1"/>
    <xf numFmtId="0" fontId="4" fillId="2" borderId="2" xfId="0" applyFont="1" applyFill="1" applyBorder="1" applyAlignment="1"/>
    <xf numFmtId="2" fontId="4" fillId="2" borderId="1" xfId="0" applyNumberFormat="1" applyFont="1" applyFill="1" applyBorder="1" applyAlignment="1"/>
    <xf numFmtId="176" fontId="3" fillId="4" borderId="0" xfId="0" applyNumberFormat="1" applyFont="1" applyFill="1" applyAlignment="1"/>
    <xf numFmtId="9" fontId="4" fillId="2" borderId="0" xfId="0" applyNumberFormat="1" applyFont="1" applyFill="1" applyAlignment="1"/>
    <xf numFmtId="176" fontId="0" fillId="4" borderId="0" xfId="0" applyNumberFormat="1" applyFill="1" applyAlignment="1"/>
    <xf numFmtId="0" fontId="12" fillId="0" borderId="0" xfId="0" applyFont="1" applyAlignment="1"/>
    <xf numFmtId="176" fontId="12" fillId="4" borderId="0" xfId="0" applyNumberFormat="1" applyFont="1" applyFill="1" applyAlignment="1"/>
    <xf numFmtId="0" fontId="4" fillId="2" borderId="0" xfId="0" applyFont="1" applyFill="1" applyBorder="1" applyAlignment="1"/>
    <xf numFmtId="2" fontId="10" fillId="0" borderId="1" xfId="0" applyNumberFormat="1" applyFont="1" applyBorder="1" applyAlignment="1"/>
    <xf numFmtId="2" fontId="3" fillId="0" borderId="0" xfId="0" applyNumberFormat="1" applyFont="1" applyAlignment="1"/>
    <xf numFmtId="176" fontId="3" fillId="0" borderId="0" xfId="0" applyNumberFormat="1" applyFont="1" applyAlignment="1"/>
    <xf numFmtId="0" fontId="13" fillId="3" borderId="3" xfId="0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horizontal="center"/>
    </xf>
    <xf numFmtId="176" fontId="14" fillId="2" borderId="3" xfId="0" applyNumberFormat="1" applyFont="1" applyFill="1" applyBorder="1" applyAlignment="1">
      <alignment horizontal="center"/>
    </xf>
    <xf numFmtId="0" fontId="9" fillId="0" borderId="0" xfId="0" applyFont="1" applyBorder="1" applyAlignment="1"/>
    <xf numFmtId="0" fontId="7" fillId="3" borderId="0" xfId="0" applyFont="1" applyFill="1" applyAlignment="1"/>
    <xf numFmtId="2" fontId="0" fillId="0" borderId="0" xfId="0" applyNumberFormat="1" applyAlignment="1"/>
    <xf numFmtId="0" fontId="12" fillId="0" borderId="0" xfId="0" applyFont="1"/>
    <xf numFmtId="0" fontId="15" fillId="2" borderId="0" xfId="0" applyFont="1" applyFill="1"/>
    <xf numFmtId="2" fontId="9" fillId="4" borderId="0" xfId="0" applyNumberFormat="1" applyFont="1" applyFill="1"/>
    <xf numFmtId="176" fontId="9" fillId="4" borderId="0" xfId="0" applyNumberFormat="1" applyFont="1" applyFill="1"/>
    <xf numFmtId="1" fontId="9" fillId="4" borderId="0" xfId="0" applyNumberFormat="1" applyFont="1" applyFill="1"/>
    <xf numFmtId="0" fontId="0" fillId="3" borderId="0" xfId="0" applyFill="1"/>
    <xf numFmtId="0" fontId="16" fillId="3" borderId="0" xfId="0" applyFont="1" applyFill="1" applyBorder="1"/>
    <xf numFmtId="0" fontId="17" fillId="3" borderId="0" xfId="0" applyFont="1" applyFill="1" applyBorder="1"/>
    <xf numFmtId="0" fontId="18" fillId="3" borderId="0" xfId="0" applyFont="1" applyFill="1" applyBorder="1"/>
    <xf numFmtId="0" fontId="19" fillId="0" borderId="0" xfId="0" applyFont="1"/>
    <xf numFmtId="0" fontId="12" fillId="2" borderId="1" xfId="0" applyFont="1" applyFill="1" applyBorder="1"/>
    <xf numFmtId="0" fontId="8" fillId="2" borderId="1" xfId="0" applyFont="1" applyFill="1" applyBorder="1"/>
    <xf numFmtId="0" fontId="20" fillId="2" borderId="1" xfId="0" applyFont="1" applyFill="1" applyBorder="1"/>
    <xf numFmtId="0" fontId="8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b val="1"/>
        <color rgb="FFC0392B"/>
      </font>
      <fill>
        <patternFill patternType="solid">
          <bgColor rgb="FFF9D6D5"/>
        </patternFill>
      </fill>
    </dxf>
    <dxf>
      <font>
        <b val="1"/>
        <color rgb="FF1E7145"/>
      </font>
      <fill>
        <patternFill patternType="solid">
          <bgColor rgb="FFD9EAD3"/>
        </patternFill>
      </fill>
    </dxf>
    <dxf>
      <font>
        <b val="1"/>
        <color rgb="FFC0392B"/>
      </font>
      <fill>
        <patternFill patternType="solid">
          <bgColor rgb="FFF9D6D5"/>
        </patternFill>
      </fill>
    </dxf>
    <dxf>
      <fill>
        <patternFill patternType="solid">
          <bgColor rgb="FFFBEFEF"/>
        </patternFill>
      </fill>
    </dxf>
    <dxf>
      <font>
        <b val="1"/>
        <color rgb="FF1F2A44"/>
      </font>
      <fill>
        <patternFill patternType="solid">
          <bgColor rgb="FFFCE9B0"/>
        </patternFill>
      </fill>
    </dxf>
    <dxf>
      <font>
        <color rgb="FFC0392B"/>
      </font>
      <fill>
        <patternFill patternType="solid">
          <bgColor rgb="FFF9D6D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E7145"/>
      <rgbColor rgb="00B3B3B3"/>
      <rgbColor rgb="00666666"/>
      <rgbColor rgb="009999FF"/>
      <rgbColor rgb="00AB4744"/>
      <rgbColor rgb="00F4F4F4"/>
      <rgbColor rgb="00FBEFEF"/>
      <rgbColor rgb="00660066"/>
      <rgbColor rgb="00D09493"/>
      <rgbColor rgb="001155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EAD3"/>
      <rgbColor rgb="00FCE9B0"/>
      <rgbColor rgb="0099CCFF"/>
      <rgbColor rgb="00FF99CC"/>
      <rgbColor rgb="00CC99FF"/>
      <rgbColor rgb="00F9D6D5"/>
      <rgbColor rgb="004F81BD"/>
      <rgbColor rgb="0033CCCC"/>
      <rgbColor rgb="009BBB59"/>
      <rgbColor rgb="00FFCC00"/>
      <rgbColor rgb="00C9A227"/>
      <rgbColor rgb="00FF6600"/>
      <rgbColor rgb="008064A2"/>
      <rgbColor rgb="00969696"/>
      <rgbColor rgb="00003366"/>
      <rgbColor rgb="00339966"/>
      <rgbColor rgb="00003300"/>
      <rgbColor rgb="00333300"/>
      <rgbColor rgb="00C0392B"/>
      <rgbColor rgb="00C0504D"/>
      <rgbColor rgb="00333399"/>
      <rgbColor rgb="00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Hours by Client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Dashboard!$A$11:$A$15</c:f>
              <c:strCache>
                <c:ptCount val="5"/>
                <c:pt idx="0">
                  <c:v>Acme Corp</c:v>
                </c:pt>
                <c:pt idx="1">
                  <c:v>Client 2</c:v>
                </c:pt>
                <c:pt idx="2">
                  <c:v>Client 3</c:v>
                </c:pt>
                <c:pt idx="3">
                  <c:v>Client 4</c:v>
                </c:pt>
                <c:pt idx="4">
                  <c:v>Client 5</c:v>
                </c:pt>
              </c:strCache>
            </c:strRef>
          </c:cat>
          <c:val>
            <c:numRef>
              <c:f>Dashboard!$B$11:$B$15</c:f>
              <c:numCache>
                <c:formatCode>0.00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2930101"/>
        <c:axId val="40097896"/>
      </c:barChart>
      <c:catAx>
        <c:axId val="429301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Client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0097896"/>
        <c:crosses val="autoZero"/>
        <c:auto val="1"/>
        <c:lblAlgn val="ctr"/>
        <c:lblOffset val="100"/>
        <c:noMultiLvlLbl val="0"/>
      </c:catAx>
      <c:valAx>
        <c:axId val="40097896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Hours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29301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edaf11-21a5-4463-ab01-cc4804b983d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Income vs Expense by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Bookkeeping!$B$51</c:f>
              <c:strCache>
                <c:ptCount val="1"/>
                <c:pt idx="0">
                  <c:v>$0.00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Bookkeeping!$A$52:$A$57</c:f>
              <c:strCache>
                <c:ptCount val="6"/>
                <c:pt idx="0">
                  <c:v>Internet/Phone</c:v>
                </c:pt>
                <c:pt idx="1">
                  <c:v>Equipment</c:v>
                </c:pt>
                <c:pt idx="2">
                  <c:v>Training</c:v>
                </c:pt>
                <c:pt idx="3">
                  <c:v>Marketing</c:v>
                </c:pt>
                <c:pt idx="4">
                  <c:v>Taxes</c:v>
                </c:pt>
                <c:pt idx="5">
                  <c:v>Other</c:v>
                </c:pt>
              </c:strCache>
            </c:strRef>
          </c:cat>
          <c:val>
            <c:numRef>
              <c:f>Bookkeeping!$B$52:$B$57</c:f>
              <c:numCache>
                <c:formatCode>"$"#,##0.00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Bookkeeping!$C$51</c:f>
              <c:strCache>
                <c:ptCount val="1"/>
                <c:pt idx="0">
                  <c:v>$0.00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Bookkeeping!$A$52:$A$57</c:f>
              <c:strCache>
                <c:ptCount val="6"/>
                <c:pt idx="0">
                  <c:v>Internet/Phone</c:v>
                </c:pt>
                <c:pt idx="1">
                  <c:v>Equipment</c:v>
                </c:pt>
                <c:pt idx="2">
                  <c:v>Training</c:v>
                </c:pt>
                <c:pt idx="3">
                  <c:v>Marketing</c:v>
                </c:pt>
                <c:pt idx="4">
                  <c:v>Taxes</c:v>
                </c:pt>
                <c:pt idx="5">
                  <c:v>Other</c:v>
                </c:pt>
              </c:strCache>
            </c:strRef>
          </c:cat>
          <c:val>
            <c:numRef>
              <c:f>Bookkeeping!$C$52:$C$57</c:f>
              <c:numCache>
                <c:formatCode>"$"#,##0.00</c:formatCode>
                <c:ptCount val="6"/>
                <c:pt idx="0">
                  <c:v>630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5052529"/>
        <c:axId val="59809600"/>
      </c:barChart>
      <c:catAx>
        <c:axId val="250525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9809600"/>
        <c:crosses val="autoZero"/>
        <c:auto val="1"/>
        <c:lblAlgn val="ctr"/>
        <c:lblOffset val="100"/>
        <c:noMultiLvlLbl val="0"/>
      </c:catAx>
      <c:valAx>
        <c:axId val="5980960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Amount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.00" sourceLinked="0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5052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f9d2fe-9a28-469b-a52b-de77468f6d5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Task Status Breakdown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'Task Tracker'!$A$44:$A$47</c:f>
              <c:strCache>
                <c:ptCount val="4"/>
                <c:pt idx="0">
                  <c:v>To Do</c:v>
                </c:pt>
                <c:pt idx="1">
                  <c:v>In Progress</c:v>
                </c:pt>
                <c:pt idx="2">
                  <c:v>Waiting on Client</c:v>
                </c:pt>
                <c:pt idx="3">
                  <c:v>Done</c:v>
                </c:pt>
              </c:strCache>
            </c:strRef>
          </c:cat>
          <c:val>
            <c:numRef>
              <c:f>'Task Tracker'!$B$44:$B$47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7816c4-82a1-446a-b97e-727de94b568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Income vs Expense Trend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Bookkeeping!$B$61</c:f>
              <c:strCache>
                <c:ptCount val="1"/>
                <c:pt idx="0">
                  <c:v>Income ($)</c:v>
                </c:pt>
              </c:strCache>
            </c:strRef>
          </c:tx>
          <c:spPr>
            <a:ln w="0" cap="rnd" cmpd="sng" algn="ctr">
              <a:solidFill>
                <a:srgbClr val="FFFFF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Bookkeeping!$A$62:$A$67</c:f>
              <c:strCache>
                <c:ptCount val="6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</c:strCache>
            </c:strRef>
          </c:cat>
          <c:val>
            <c:numRef>
              <c:f>Bookkeeping!$B$62:$B$67</c:f>
              <c:numCache>
                <c:formatCode>"$"#,##0.00</c:formatCode>
                <c:ptCount val="6"/>
                <c:pt idx="0">
                  <c:v>450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Bookkeeping!$C$61</c:f>
              <c:strCache>
                <c:ptCount val="1"/>
                <c:pt idx="0">
                  <c:v>Expense ($)</c:v>
                </c:pt>
              </c:strCache>
            </c:strRef>
          </c:tx>
          <c:spPr>
            <a:ln w="0" cap="rnd" cmpd="sng" algn="ctr">
              <a:solidFill>
                <a:srgbClr val="FFFFF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Bookkeeping!$A$62:$A$67</c:f>
              <c:strCache>
                <c:ptCount val="6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  <c:pt idx="3">
                  <c:v>Oct 2026</c:v>
                </c:pt>
                <c:pt idx="4">
                  <c:v>Nov 2026</c:v>
                </c:pt>
                <c:pt idx="5">
                  <c:v>Dec 2026</c:v>
                </c:pt>
              </c:strCache>
            </c:strRef>
          </c:cat>
          <c:val>
            <c:numRef>
              <c:f>Bookkeeping!$C$62:$C$67</c:f>
              <c:numCache>
                <c:formatCode>"$"#,##0.00</c:formatCode>
                <c:ptCount val="6"/>
                <c:pt idx="0">
                  <c:v>630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45504768"/>
        <c:axId val="69762200"/>
      </c:lineChart>
      <c:catAx>
        <c:axId val="4550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9762200"/>
        <c:crosses val="autoZero"/>
        <c:auto val="1"/>
        <c:lblAlgn val="ctr"/>
        <c:lblOffset val="100"/>
        <c:noMultiLvlLbl val="0"/>
      </c:catAx>
      <c:valAx>
        <c:axId val="6976220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Amount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.00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55047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8c543-bef5-47b1-a2aa-dc9d3c5645b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7</xdr:row>
      <xdr:rowOff>70560</xdr:rowOff>
    </xdr:from>
    <xdr:to>
      <xdr:col>10</xdr:col>
      <xdr:colOff>120240</xdr:colOff>
      <xdr:row>22</xdr:row>
      <xdr:rowOff>92160</xdr:rowOff>
    </xdr:to>
    <xdr:graphicFrame>
      <xdr:nvGraphicFramePr>
        <xdr:cNvPr id="2" name="Chart 1"/>
        <xdr:cNvGraphicFramePr/>
      </xdr:nvGraphicFramePr>
      <xdr:xfrm>
        <a:off x="5486400" y="1731645"/>
        <a:ext cx="5606415" cy="282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70560</xdr:rowOff>
    </xdr:from>
    <xdr:to>
      <xdr:col>10</xdr:col>
      <xdr:colOff>120240</xdr:colOff>
      <xdr:row>32</xdr:row>
      <xdr:rowOff>92520</xdr:rowOff>
    </xdr:to>
    <xdr:graphicFrame>
      <xdr:nvGraphicFramePr>
        <xdr:cNvPr id="3" name="Chart 2"/>
        <xdr:cNvGraphicFramePr/>
      </xdr:nvGraphicFramePr>
      <xdr:xfrm>
        <a:off x="5486400" y="3613785"/>
        <a:ext cx="5606415" cy="2780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70200</xdr:rowOff>
    </xdr:from>
    <xdr:to>
      <xdr:col>3</xdr:col>
      <xdr:colOff>936000</xdr:colOff>
      <xdr:row>43</xdr:row>
      <xdr:rowOff>77400</xdr:rowOff>
    </xdr:to>
    <xdr:graphicFrame>
      <xdr:nvGraphicFramePr>
        <xdr:cNvPr id="4" name="Chart 3"/>
        <xdr:cNvGraphicFramePr/>
      </xdr:nvGraphicFramePr>
      <xdr:xfrm>
        <a:off x="0" y="5632450"/>
        <a:ext cx="4227830" cy="2788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37</xdr:row>
      <xdr:rowOff>0</xdr:rowOff>
    </xdr:from>
    <xdr:to>
      <xdr:col>10</xdr:col>
      <xdr:colOff>120600</xdr:colOff>
      <xdr:row>52</xdr:row>
      <xdr:rowOff>7560</xdr:rowOff>
    </xdr:to>
    <xdr:graphicFrame>
      <xdr:nvGraphicFramePr>
        <xdr:cNvPr id="5" name="Chart 4"/>
        <xdr:cNvGraphicFramePr/>
      </xdr:nvGraphicFramePr>
      <xdr:xfrm>
        <a:off x="5486400" y="7216140"/>
        <a:ext cx="5606415" cy="2788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imesheetTable" displayName="TimesheetTable" ref="A5:H35" totalsRowShown="0">
  <autoFilter xmlns:etc="http://www.wps.cn/officeDocument/2017/etCustomData" ref="A5:H35" etc:filterBottomFollowUsedRange="0"/>
  <tableColumns count="8">
    <tableColumn id="1" name="Date"/>
    <tableColumn id="2" name="Client"/>
    <tableColumn id="3" name="Task / Description"/>
    <tableColumn id="4" name="Start Time"/>
    <tableColumn id="5" name="End Time"/>
    <tableColumn id="6" name="Hours"/>
    <tableColumn id="7" name="Hourly Rate ($)"/>
    <tableColumn id="8" name="Total ($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InvoiceLines" displayName="InvoiceLines" ref="A10:E20" totalsRowShown="0">
  <autoFilter xmlns:etc="http://www.wps.cn/officeDocument/2017/etCustomData" ref="A10:E20" etc:filterBottomFollowUsedRange="0"/>
  <tableColumns count="5">
    <tableColumn id="1" name="Date"/>
    <tableColumn id="2" name="Description"/>
    <tableColumn id="3" name="Hours"/>
    <tableColumn id="4" name="Rate ($)"/>
    <tableColumn id="5" name="Amount ($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BookkeepingTable" displayName="BookkeepingTable" ref="A5:G45" totalsRowShown="0">
  <autoFilter xmlns:etc="http://www.wps.cn/officeDocument/2017/etCustomData" ref="A5:G45" etc:filterBottomFollowUsedRange="0"/>
  <tableColumns count="7">
    <tableColumn id="1" name="Date"/>
    <tableColumn id="2" name="Description"/>
    <tableColumn id="3" name="Client / Source"/>
    <tableColumn id="4" name="Category"/>
    <tableColumn id="5" name="Type"/>
    <tableColumn id="6" name="Amount ($)"/>
    <tableColumn id="7" name="Running Balance ($)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2" name="ClientCRMTable" displayName="ClientCRMTable" ref="A5:H40" totalsRowShown="0">
  <autoFilter xmlns:etc="http://www.wps.cn/officeDocument/2017/etCustomData" ref="A5:H40" etc:filterBottomFollowUsedRange="0"/>
  <tableColumns count="8">
    <tableColumn id="1" name="Client Name"/>
    <tableColumn id="2" name="Company"/>
    <tableColumn id="3" name="Platform"/>
    <tableColumn id="4" name="Contact Email"/>
    <tableColumn id="5" name="Hourly Rate ($)"/>
    <tableColumn id="6" name="Contract Start"/>
    <tableColumn id="7" name="Contract End"/>
    <tableColumn id="8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skTrackerTable" displayName="TaskTrackerTable" ref="A5:G40" totalsRowShown="0">
  <autoFilter xmlns:etc="http://www.wps.cn/officeDocument/2017/etCustomData" ref="A5:G40" etc:filterBottomFollowUsedRange="0"/>
  <tableColumns count="7">
    <tableColumn id="1" name="Client"/>
    <tableColumn id="2" name="Task"/>
    <tableColumn id="3" name="Priority"/>
    <tableColumn id="4" name="Status"/>
    <tableColumn id="5" name="Due Date"/>
    <tableColumn id="6" name="Assigned Date"/>
    <tableColumn id="7" name="No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3" name="ContentCalendarTable" displayName="ContentCalendarTable" ref="A5:H40" totalsRowShown="0">
  <autoFilter xmlns:etc="http://www.wps.cn/officeDocument/2017/etCustomData" ref="A5:H40" etc:filterBottomFollowUsedRange="0"/>
  <tableColumns count="8">
    <tableColumn id="1" name="Date"/>
    <tableColumn id="2" name="Client"/>
    <tableColumn id="3" name="Platform"/>
    <tableColumn id="4" name="Content Type"/>
    <tableColumn id="5" name="Caption / Topic"/>
    <tableColumn id="6" name="Status"/>
    <tableColumn id="7" name="Post Time"/>
    <tableColumn id="8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VA_Business_Suite_v2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showGridLines="0" topLeftCell="A6" workbookViewId="0">
      <selection activeCell="B18" sqref="B18:C19"/>
    </sheetView>
  </sheetViews>
  <sheetFormatPr defaultColWidth="8.67592592592593" defaultRowHeight="14.4" outlineLevelCol="7"/>
  <cols>
    <col min="1" max="1" width="3" customWidth="1"/>
    <col min="2" max="7" width="20" customWidth="1"/>
    <col min="8" max="8" width="3" customWidth="1"/>
  </cols>
  <sheetData>
    <row r="1" spans="1:8">
      <c r="A1" s="51"/>
      <c r="B1" s="51"/>
      <c r="C1" s="51"/>
      <c r="D1" s="51"/>
      <c r="E1" s="51"/>
      <c r="F1" s="51"/>
      <c r="G1" s="51"/>
      <c r="H1" s="51"/>
    </row>
    <row r="2" ht="33" spans="1:8">
      <c r="A2" s="51"/>
      <c r="B2" s="52" t="str">
        <f>Settings!B4</f>
        <v>[Your Business Name]</v>
      </c>
      <c r="C2" s="52"/>
      <c r="D2" s="52"/>
      <c r="E2" s="52"/>
      <c r="F2" s="52"/>
      <c r="G2" s="52"/>
      <c r="H2" s="51"/>
    </row>
    <row r="3" ht="15" spans="1:8">
      <c r="A3" s="51"/>
      <c r="B3" s="53" t="str">
        <f>Settings!B6</f>
        <v>Virtual Assistant · Technical Support · Content &amp; Video Editing</v>
      </c>
      <c r="C3" s="53"/>
      <c r="D3" s="53"/>
      <c r="E3" s="53"/>
      <c r="F3" s="53"/>
      <c r="G3" s="53"/>
      <c r="H3" s="51"/>
    </row>
    <row r="4" spans="1:8">
      <c r="A4" s="51"/>
      <c r="B4" s="51"/>
      <c r="C4" s="51"/>
      <c r="D4" s="51"/>
      <c r="E4" s="51"/>
      <c r="F4" s="51"/>
      <c r="G4" s="51"/>
      <c r="H4" s="51"/>
    </row>
    <row r="5" ht="17.4" spans="1:8">
      <c r="A5" s="51"/>
      <c r="B5" s="54" t="s">
        <v>0</v>
      </c>
      <c r="C5" s="54"/>
      <c r="D5" s="54"/>
      <c r="E5" s="54"/>
      <c r="F5" s="54"/>
      <c r="G5" s="54"/>
      <c r="H5" s="51"/>
    </row>
    <row r="6" spans="1:8">
      <c r="A6" s="51"/>
      <c r="B6" s="51"/>
      <c r="C6" s="51"/>
      <c r="D6" s="51"/>
      <c r="E6" s="51"/>
      <c r="F6" s="51"/>
      <c r="G6" s="51"/>
      <c r="H6" s="51"/>
    </row>
    <row r="7" spans="1:8">
      <c r="A7" s="51"/>
      <c r="B7" s="51"/>
      <c r="C7" s="51"/>
      <c r="D7" s="51"/>
      <c r="E7" s="51"/>
      <c r="F7" s="51"/>
      <c r="G7" s="51"/>
      <c r="H7" s="51"/>
    </row>
    <row r="9" ht="15.6" spans="1:8">
      <c r="B9" s="55" t="s">
        <v>1</v>
      </c>
    </row>
    <row r="11" ht="16.8" spans="1:8">
      <c r="B11" s="56" t="s">
        <v>2</v>
      </c>
      <c r="C11" s="56"/>
      <c r="D11" s="56" t="s">
        <v>3</v>
      </c>
      <c r="E11" s="56"/>
      <c r="F11" s="56" t="s">
        <v>4</v>
      </c>
      <c r="G11" s="56"/>
    </row>
    <row r="12" spans="1:8">
      <c r="B12" s="57" t="s">
        <v>5</v>
      </c>
      <c r="C12" s="57"/>
      <c r="D12" s="57" t="s">
        <v>6</v>
      </c>
      <c r="E12" s="57"/>
      <c r="F12" s="57" t="s">
        <v>7</v>
      </c>
      <c r="G12" s="57"/>
    </row>
    <row r="13" spans="1:8">
      <c r="B13" s="58" t="s">
        <v>8</v>
      </c>
      <c r="C13" s="58"/>
      <c r="D13" s="58" t="s">
        <v>8</v>
      </c>
      <c r="E13" s="58"/>
      <c r="F13" s="58" t="s">
        <v>8</v>
      </c>
      <c r="G13" s="58"/>
    </row>
    <row r="14" spans="1:8">
      <c r="B14" s="58"/>
      <c r="C14" s="58"/>
      <c r="D14" s="58"/>
      <c r="E14" s="58"/>
      <c r="F14" s="58"/>
      <c r="G14" s="58"/>
    </row>
    <row r="16" ht="16.8" spans="1:8">
      <c r="B16" s="56" t="s">
        <v>9</v>
      </c>
      <c r="C16" s="56"/>
      <c r="D16" s="56" t="s">
        <v>10</v>
      </c>
      <c r="E16" s="56"/>
      <c r="F16" s="56" t="s">
        <v>11</v>
      </c>
      <c r="G16" s="56"/>
    </row>
    <row r="17" spans="2:7">
      <c r="B17" s="57" t="s">
        <v>12</v>
      </c>
      <c r="C17" s="57"/>
      <c r="D17" s="57" t="s">
        <v>13</v>
      </c>
      <c r="E17" s="57"/>
      <c r="F17" s="57" t="s">
        <v>14</v>
      </c>
      <c r="G17" s="57"/>
    </row>
    <row r="18" spans="2:7">
      <c r="B18" s="58" t="s">
        <v>8</v>
      </c>
      <c r="C18" s="58"/>
      <c r="D18" s="58" t="s">
        <v>8</v>
      </c>
      <c r="E18" s="58"/>
      <c r="F18" s="58" t="s">
        <v>8</v>
      </c>
      <c r="G18" s="58"/>
    </row>
    <row r="19" spans="2:7">
      <c r="B19" s="58"/>
      <c r="C19" s="58"/>
      <c r="D19" s="58"/>
      <c r="E19" s="58"/>
      <c r="F19" s="58"/>
      <c r="G19" s="58"/>
    </row>
    <row r="21" ht="16.8" spans="2:7">
      <c r="B21" s="56" t="s">
        <v>15</v>
      </c>
      <c r="C21" s="56"/>
      <c r="D21" s="56" t="s">
        <v>16</v>
      </c>
      <c r="E21" s="56"/>
    </row>
    <row r="22" spans="2:7">
      <c r="B22" s="57" t="s">
        <v>17</v>
      </c>
      <c r="C22" s="57"/>
      <c r="D22" s="57" t="s">
        <v>18</v>
      </c>
      <c r="E22" s="57"/>
    </row>
    <row r="23" spans="2:7">
      <c r="B23" s="58" t="s">
        <v>8</v>
      </c>
      <c r="C23" s="58"/>
      <c r="D23" s="58" t="s">
        <v>8</v>
      </c>
      <c r="E23" s="58"/>
    </row>
    <row r="24" spans="2:7">
      <c r="B24" s="58"/>
      <c r="C24" s="58"/>
      <c r="D24" s="58"/>
      <c r="E24" s="58"/>
    </row>
    <row r="26" spans="2:7">
      <c r="B26" s="59" t="s">
        <v>19</v>
      </c>
      <c r="C26" s="59"/>
      <c r="D26" s="59"/>
      <c r="E26" s="59"/>
      <c r="F26" s="59"/>
      <c r="G26" s="59"/>
    </row>
  </sheetData>
  <mergeCells count="28">
    <mergeCell ref="B2:G2"/>
    <mergeCell ref="B3:G3"/>
    <mergeCell ref="B5:G5"/>
    <mergeCell ref="B11:C11"/>
    <mergeCell ref="D11:E11"/>
    <mergeCell ref="F11:G11"/>
    <mergeCell ref="B12:C12"/>
    <mergeCell ref="D12:E12"/>
    <mergeCell ref="F12:G12"/>
    <mergeCell ref="B16:C16"/>
    <mergeCell ref="D16:E16"/>
    <mergeCell ref="F16:G16"/>
    <mergeCell ref="B17:C17"/>
    <mergeCell ref="D17:E17"/>
    <mergeCell ref="F17:G17"/>
    <mergeCell ref="B21:C21"/>
    <mergeCell ref="D21:E21"/>
    <mergeCell ref="B22:C22"/>
    <mergeCell ref="D22:E22"/>
    <mergeCell ref="B26:G26"/>
    <mergeCell ref="B13:C14"/>
    <mergeCell ref="D13:E14"/>
    <mergeCell ref="F13:G14"/>
    <mergeCell ref="B18:C19"/>
    <mergeCell ref="D18:E19"/>
    <mergeCell ref="F18:G19"/>
    <mergeCell ref="B23:C24"/>
    <mergeCell ref="D23:E24"/>
  </mergeCells>
  <hyperlinks>
    <hyperlink ref="B11" r:id="rId1" location="'Dashboard'!A1" display="📊 Dashboard"/>
    <hyperlink ref="D11" r:id="rId1" location="'Timesheet'!A1" display="⏱ Timesheet"/>
    <hyperlink ref="F11" r:id="rId1" location="'Invoice'!A1" display="🧾 Invoice"/>
    <hyperlink ref="B13" r:id="rId1" location="'Dashboard'!A1" display="Open →"/>
    <hyperlink ref="D13" r:id="rId1" location="'Timesheet'!A1" display="Open →"/>
    <hyperlink ref="F13" r:id="rId1" location="'Invoice'!A1" display="Open →"/>
    <hyperlink ref="B16" r:id="rId1" location="'Bookkeeping'!A1" display="💰 Bookkeeping"/>
    <hyperlink ref="D16" r:id="rId1" location="'Client%20CRM'!A1" display="👥 Client CRM"/>
    <hyperlink ref="F16" r:id="rId1" location="'Task%20Tracker'!A1" display="✅ Task Tracker"/>
    <hyperlink ref="B18" r:id="rId1" location="'Bookkeeping'!A1" display="Open →"/>
    <hyperlink ref="D18" r:id="rId1" location="'Client%20CRM'!A1" display="Open →"/>
    <hyperlink ref="F18" r:id="rId1" location="'Task%20Tracker'!A1" display="Open →"/>
    <hyperlink ref="B21" r:id="rId1" location="'Content%20Calendar'!A1" display="📅 Content Calendar"/>
    <hyperlink ref="D21" r:id="rId1" location="'Settings'!A1" display="⚙ Settings"/>
    <hyperlink ref="B23" r:id="rId1" location="'Content%20Calendar'!A1" display="Open →"/>
    <hyperlink ref="D23" r:id="rId1" location="'Settings'!A1" display="Open →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showGridLines="0" workbookViewId="0">
      <selection activeCell="A1" sqref="A1:L1"/>
    </sheetView>
  </sheetViews>
  <sheetFormatPr defaultColWidth="8.67592592592593" defaultRowHeight="14.4"/>
  <cols>
    <col min="1" max="12" width="16" style="5" customWidth="1"/>
  </cols>
  <sheetData>
    <row r="1" ht="24" customHeight="1" spans="1:12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5" customHeight="1" spans="1:12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15" customHeight="1" spans="1:1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ht="15.15"/>
    <row r="5" ht="19.5" customHeight="1" spans="1:12">
      <c r="A5" s="40" t="s">
        <v>22</v>
      </c>
      <c r="B5" s="40"/>
      <c r="C5" s="40" t="s">
        <v>23</v>
      </c>
      <c r="D5" s="40"/>
      <c r="E5" s="40" t="s">
        <v>24</v>
      </c>
      <c r="F5" s="40"/>
      <c r="G5" s="40" t="s">
        <v>25</v>
      </c>
      <c r="H5" s="40"/>
      <c r="I5" s="40" t="s">
        <v>26</v>
      </c>
      <c r="J5" s="40"/>
      <c r="K5" s="40" t="s">
        <v>27</v>
      </c>
      <c r="L5" s="40"/>
    </row>
    <row r="6" ht="27.75" customHeight="1" spans="1:12">
      <c r="A6" s="41">
        <f>Timesheet!F37</f>
        <v>3</v>
      </c>
      <c r="B6" s="41"/>
      <c r="C6" s="42">
        <f>Timesheet!H37</f>
        <v>45</v>
      </c>
      <c r="D6" s="42"/>
      <c r="E6" s="42">
        <f>SUMIF(Bookkeeping!E6:E45,"Income",Bookkeeping!F6:F45)</f>
        <v>650</v>
      </c>
      <c r="F6" s="42"/>
      <c r="G6" s="42">
        <f>SUMIF(Bookkeeping!E6:E45,"Expense",Bookkeeping!F6:F45)</f>
        <v>630</v>
      </c>
      <c r="H6" s="42"/>
      <c r="I6" s="42">
        <f>D5-D6</f>
        <v>0</v>
      </c>
      <c r="J6" s="42"/>
      <c r="K6" s="42" t="str">
        <f>Bookkeeping!G45</f>
        <v/>
      </c>
      <c r="L6" s="42"/>
    </row>
    <row r="9" ht="15" customHeight="1" spans="1:12">
      <c r="A9" s="43" t="s">
        <v>28</v>
      </c>
      <c r="B9" s="43"/>
      <c r="C9" s="43"/>
      <c r="D9" s="43"/>
    </row>
    <row r="10" ht="15" customHeight="1" spans="1:12">
      <c r="A10" s="44" t="s">
        <v>29</v>
      </c>
      <c r="B10" s="44" t="s">
        <v>30</v>
      </c>
    </row>
    <row r="11" ht="15" customHeight="1" spans="1:12">
      <c r="A11" s="25" t="s">
        <v>31</v>
      </c>
      <c r="B11" s="45">
        <f>SUMIF(Timesheet!$B$6:$B$35,A11,Timesheet!$F$6:$F$35)</f>
        <v>3</v>
      </c>
    </row>
    <row r="12" ht="15" customHeight="1" spans="1:12">
      <c r="A12" s="25" t="s">
        <v>32</v>
      </c>
      <c r="B12" s="45">
        <f>SUMIF(Timesheet!$B$6:$B$35,A12,Timesheet!$F$6:$F$35)</f>
        <v>0</v>
      </c>
    </row>
    <row r="13" ht="15" customHeight="1" spans="1:12">
      <c r="A13" s="25" t="s">
        <v>33</v>
      </c>
      <c r="B13" s="45">
        <f>SUMIF(Timesheet!$B$6:$B$35,A13,Timesheet!$F$6:$F$35)</f>
        <v>0</v>
      </c>
    </row>
    <row r="14" ht="15" customHeight="1" spans="1:12">
      <c r="A14" s="25" t="s">
        <v>34</v>
      </c>
      <c r="B14" s="45">
        <f>SUMIF(Timesheet!$B$6:$B$35,A14,Timesheet!$F$6:$F$35)</f>
        <v>0</v>
      </c>
    </row>
    <row r="15" ht="15" customHeight="1" spans="1:12">
      <c r="A15" s="25" t="s">
        <v>35</v>
      </c>
      <c r="B15" s="45">
        <f>SUMIF(Timesheet!$B$6:$B$35,A15,Timesheet!$F$6:$F$35)</f>
        <v>0</v>
      </c>
    </row>
    <row r="18" ht="15" customHeight="1" spans="1:4">
      <c r="A18" s="43" t="s">
        <v>36</v>
      </c>
      <c r="B18" s="43"/>
      <c r="C18" s="43"/>
      <c r="D18" s="43"/>
    </row>
    <row r="29" ht="15" customHeight="1" spans="1:4">
      <c r="A29" s="43" t="s">
        <v>37</v>
      </c>
      <c r="B29" s="43"/>
      <c r="C29" s="43"/>
      <c r="D29" s="43"/>
    </row>
    <row r="38" ht="16.8" spans="1:12">
      <c r="A38" s="46" t="s">
        <v>38</v>
      </c>
    </row>
    <row r="39" spans="1:12">
      <c r="A39" s="3" t="s">
        <v>39</v>
      </c>
      <c r="B39" s="47" t="s">
        <v>31</v>
      </c>
    </row>
    <row r="41" spans="1:12">
      <c r="A41" s="3" t="s">
        <v>40</v>
      </c>
      <c r="B41" s="48">
        <f>SUMIF(Timesheet!$B$6:$B$35,$B$39,Timesheet!$F$6:$F$35)</f>
        <v>3</v>
      </c>
    </row>
    <row r="42" spans="1:12">
      <c r="A42" s="3" t="s">
        <v>41</v>
      </c>
      <c r="B42" s="49">
        <f>SUMIF(Timesheet!$B$6:$B$35,$B$39,Timesheet!$H$6:$H$35)</f>
        <v>45</v>
      </c>
    </row>
    <row r="43" spans="1:12">
      <c r="A43" s="3" t="s">
        <v>42</v>
      </c>
      <c r="B43" s="50">
        <f>COUNTIFS('Task Tracker'!$A$6:$A$40,$B$39,'Task Tracker'!$D$6:$D$40,"&lt;&gt;Done")</f>
        <v>1</v>
      </c>
    </row>
    <row r="44" spans="1:12">
      <c r="A44" s="3" t="s">
        <v>43</v>
      </c>
      <c r="B44" s="50">
        <f ca="1">COUNTIFS('Task Tracker'!$A$6:$A$40,$B$39,'Task Tracker'!$E$6:$E$40,"&lt;"&amp;TODAY(),'Task Tracker'!$D$6:$D$40,"&lt;&gt;Done")</f>
        <v>0</v>
      </c>
    </row>
    <row r="46" ht="15" customHeight="1" spans="1:12">
      <c r="A46" s="12" t="s">
        <v>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</sheetData>
  <mergeCells count="18">
    <mergeCell ref="A1:L1"/>
    <mergeCell ref="A2:L2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9:D9"/>
    <mergeCell ref="A18:D18"/>
    <mergeCell ref="A29:D29"/>
    <mergeCell ref="A46:L46"/>
  </mergeCells>
  <dataValidations count="1">
    <dataValidation type="list" allowBlank="1" sqref="B39">
      <formula1>'Client CRM'!$A$6:$A$40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8.67592592592593" defaultRowHeight="14.4" outlineLevelCol="7"/>
  <cols>
    <col min="1" max="1" width="12" style="5" customWidth="1"/>
    <col min="2" max="2" width="16" style="5" customWidth="1"/>
    <col min="3" max="3" width="30" style="5" customWidth="1"/>
    <col min="4" max="5" width="12" style="5" customWidth="1"/>
    <col min="6" max="6" width="10" style="5" customWidth="1"/>
    <col min="7" max="7" width="14" style="5" customWidth="1"/>
    <col min="8" max="8" width="12" style="5" customWidth="1"/>
  </cols>
  <sheetData>
    <row r="1" ht="27.75" customHeight="1" spans="1:8">
      <c r="A1" s="6" t="s">
        <v>45</v>
      </c>
      <c r="B1" s="6"/>
      <c r="C1" s="6"/>
      <c r="D1" s="6"/>
      <c r="E1" s="6"/>
      <c r="F1" s="6"/>
      <c r="G1" s="6"/>
      <c r="H1" s="6"/>
    </row>
    <row r="2" ht="15" customHeight="1" spans="1:8">
      <c r="A2" s="7" t="s">
        <v>46</v>
      </c>
      <c r="B2" s="7"/>
      <c r="C2" s="7"/>
      <c r="D2" s="7"/>
      <c r="E2" s="7"/>
      <c r="F2" s="7"/>
      <c r="G2" s="7"/>
      <c r="H2" s="7"/>
    </row>
    <row r="3" ht="15" customHeight="1" spans="1:8">
      <c r="A3" s="8"/>
      <c r="B3" s="8"/>
      <c r="C3" s="8"/>
      <c r="D3" s="8"/>
      <c r="E3" s="8"/>
      <c r="F3" s="8"/>
      <c r="G3" s="8"/>
      <c r="H3" s="8"/>
    </row>
    <row r="4" ht="15.15"/>
    <row r="5" ht="25.5" customHeight="1" spans="1:8">
      <c r="A5" s="9" t="s">
        <v>47</v>
      </c>
      <c r="B5" s="9" t="s">
        <v>29</v>
      </c>
      <c r="C5" s="9" t="s">
        <v>48</v>
      </c>
      <c r="D5" s="9" t="s">
        <v>49</v>
      </c>
      <c r="E5" s="9" t="s">
        <v>50</v>
      </c>
      <c r="F5" s="9" t="s">
        <v>30</v>
      </c>
      <c r="G5" s="9" t="s">
        <v>51</v>
      </c>
      <c r="H5" s="9" t="s">
        <v>52</v>
      </c>
    </row>
    <row r="6" ht="15" customHeight="1" spans="1:8">
      <c r="A6" s="10" t="s">
        <v>53</v>
      </c>
      <c r="B6" s="10" t="s">
        <v>31</v>
      </c>
      <c r="C6" s="10" t="s">
        <v>54</v>
      </c>
      <c r="D6" s="11" t="s">
        <v>55</v>
      </c>
      <c r="E6" s="11" t="s">
        <v>56</v>
      </c>
      <c r="F6" s="37">
        <f>(E6-D6)*24</f>
        <v>3</v>
      </c>
      <c r="G6" s="17">
        <v>15</v>
      </c>
      <c r="H6" s="18">
        <f>F6*G6</f>
        <v>45</v>
      </c>
    </row>
    <row r="7" ht="15" customHeight="1" spans="1:8">
      <c r="A7" s="10"/>
      <c r="B7" s="10"/>
      <c r="C7" s="10"/>
      <c r="D7" s="11"/>
      <c r="E7" s="11"/>
      <c r="F7" s="37" t="str">
        <f t="shared" ref="F7:F35" si="0">IF(D7="","",(E7-D7)*24)</f>
        <v/>
      </c>
      <c r="G7" s="17"/>
      <c r="H7" s="18" t="str">
        <f t="shared" ref="H7:H35" si="1">IF(F7="","",F7*G7)</f>
        <v/>
      </c>
    </row>
    <row r="8" ht="15" customHeight="1" spans="1:8">
      <c r="A8" s="10"/>
      <c r="B8" s="10"/>
      <c r="C8" s="10"/>
      <c r="D8" s="11"/>
      <c r="E8" s="11"/>
      <c r="F8" s="37" t="str">
        <f t="shared" si="0"/>
        <v/>
      </c>
      <c r="G8" s="17"/>
      <c r="H8" s="18" t="str">
        <f t="shared" si="1"/>
        <v/>
      </c>
    </row>
    <row r="9" ht="15" customHeight="1" spans="1:8">
      <c r="A9" s="10"/>
      <c r="B9" s="10"/>
      <c r="C9" s="10"/>
      <c r="D9" s="11"/>
      <c r="E9" s="11"/>
      <c r="F9" s="37" t="str">
        <f t="shared" si="0"/>
        <v/>
      </c>
      <c r="G9" s="17"/>
      <c r="H9" s="18" t="str">
        <f t="shared" si="1"/>
        <v/>
      </c>
    </row>
    <row r="10" ht="15" customHeight="1" spans="1:8">
      <c r="A10" s="10"/>
      <c r="B10" s="10"/>
      <c r="C10" s="10"/>
      <c r="D10" s="11"/>
      <c r="E10" s="11"/>
      <c r="F10" s="37" t="str">
        <f t="shared" si="0"/>
        <v/>
      </c>
      <c r="G10" s="17"/>
      <c r="H10" s="18" t="str">
        <f t="shared" si="1"/>
        <v/>
      </c>
    </row>
    <row r="11" ht="15" customHeight="1" spans="1:8">
      <c r="A11" s="10"/>
      <c r="B11" s="10"/>
      <c r="C11" s="10"/>
      <c r="D11" s="11"/>
      <c r="E11" s="11"/>
      <c r="F11" s="37" t="str">
        <f t="shared" si="0"/>
        <v/>
      </c>
      <c r="G11" s="17"/>
      <c r="H11" s="18" t="str">
        <f t="shared" si="1"/>
        <v/>
      </c>
    </row>
    <row r="12" ht="15" customHeight="1" spans="1:8">
      <c r="A12" s="10"/>
      <c r="B12" s="10"/>
      <c r="C12" s="10"/>
      <c r="D12" s="11"/>
      <c r="E12" s="11"/>
      <c r="F12" s="37" t="str">
        <f t="shared" si="0"/>
        <v/>
      </c>
      <c r="G12" s="17"/>
      <c r="H12" s="18" t="str">
        <f t="shared" si="1"/>
        <v/>
      </c>
    </row>
    <row r="13" ht="15" customHeight="1" spans="1:8">
      <c r="A13" s="10"/>
      <c r="B13" s="10"/>
      <c r="C13" s="10"/>
      <c r="D13" s="11"/>
      <c r="E13" s="11"/>
      <c r="F13" s="37" t="str">
        <f t="shared" si="0"/>
        <v/>
      </c>
      <c r="G13" s="17"/>
      <c r="H13" s="18" t="str">
        <f t="shared" si="1"/>
        <v/>
      </c>
    </row>
    <row r="14" ht="15" customHeight="1" spans="1:8">
      <c r="A14" s="10"/>
      <c r="B14" s="10"/>
      <c r="C14" s="10"/>
      <c r="D14" s="11"/>
      <c r="E14" s="11"/>
      <c r="F14" s="37" t="str">
        <f t="shared" si="0"/>
        <v/>
      </c>
      <c r="G14" s="17"/>
      <c r="H14" s="18" t="str">
        <f t="shared" si="1"/>
        <v/>
      </c>
    </row>
    <row r="15" ht="15" customHeight="1" spans="1:8">
      <c r="A15" s="10"/>
      <c r="B15" s="10"/>
      <c r="C15" s="10"/>
      <c r="D15" s="11"/>
      <c r="E15" s="11"/>
      <c r="F15" s="37" t="str">
        <f t="shared" si="0"/>
        <v/>
      </c>
      <c r="G15" s="17"/>
      <c r="H15" s="18" t="str">
        <f t="shared" si="1"/>
        <v/>
      </c>
    </row>
    <row r="16" ht="15" customHeight="1" spans="1:8">
      <c r="A16" s="10"/>
      <c r="B16" s="10"/>
      <c r="C16" s="10"/>
      <c r="D16" s="11"/>
      <c r="E16" s="11"/>
      <c r="F16" s="37" t="str">
        <f t="shared" si="0"/>
        <v/>
      </c>
      <c r="G16" s="17"/>
      <c r="H16" s="18" t="str">
        <f t="shared" si="1"/>
        <v/>
      </c>
    </row>
    <row r="17" ht="15" customHeight="1" spans="1:8">
      <c r="A17" s="10"/>
      <c r="B17" s="10"/>
      <c r="C17" s="10"/>
      <c r="D17" s="11"/>
      <c r="E17" s="11"/>
      <c r="F17" s="37" t="str">
        <f t="shared" si="0"/>
        <v/>
      </c>
      <c r="G17" s="17"/>
      <c r="H17" s="18" t="str">
        <f t="shared" si="1"/>
        <v/>
      </c>
    </row>
    <row r="18" ht="15" customHeight="1" spans="1:8">
      <c r="A18" s="10"/>
      <c r="B18" s="10"/>
      <c r="C18" s="10"/>
      <c r="D18" s="11"/>
      <c r="E18" s="11"/>
      <c r="F18" s="37" t="str">
        <f t="shared" si="0"/>
        <v/>
      </c>
      <c r="G18" s="17"/>
      <c r="H18" s="18" t="str">
        <f t="shared" si="1"/>
        <v/>
      </c>
    </row>
    <row r="19" ht="15" customHeight="1" spans="1:8">
      <c r="A19" s="10"/>
      <c r="B19" s="10"/>
      <c r="C19" s="10"/>
      <c r="D19" s="11"/>
      <c r="E19" s="11"/>
      <c r="F19" s="37" t="str">
        <f t="shared" si="0"/>
        <v/>
      </c>
      <c r="G19" s="17"/>
      <c r="H19" s="18" t="str">
        <f t="shared" si="1"/>
        <v/>
      </c>
    </row>
    <row r="20" ht="15" customHeight="1" spans="1:8">
      <c r="A20" s="10"/>
      <c r="B20" s="10"/>
      <c r="C20" s="10"/>
      <c r="D20" s="11"/>
      <c r="E20" s="11"/>
      <c r="F20" s="37" t="str">
        <f t="shared" si="0"/>
        <v/>
      </c>
      <c r="G20" s="17"/>
      <c r="H20" s="18" t="str">
        <f t="shared" si="1"/>
        <v/>
      </c>
    </row>
    <row r="21" ht="15" customHeight="1" spans="1:8">
      <c r="A21" s="10"/>
      <c r="B21" s="10"/>
      <c r="C21" s="10"/>
      <c r="D21" s="11"/>
      <c r="E21" s="11"/>
      <c r="F21" s="37" t="str">
        <f t="shared" si="0"/>
        <v/>
      </c>
      <c r="G21" s="17"/>
      <c r="H21" s="18" t="str">
        <f t="shared" si="1"/>
        <v/>
      </c>
    </row>
    <row r="22" ht="15" customHeight="1" spans="1:8">
      <c r="A22" s="10"/>
      <c r="B22" s="10"/>
      <c r="C22" s="10"/>
      <c r="D22" s="11"/>
      <c r="E22" s="11"/>
      <c r="F22" s="37" t="str">
        <f t="shared" si="0"/>
        <v/>
      </c>
      <c r="G22" s="17"/>
      <c r="H22" s="18" t="str">
        <f t="shared" si="1"/>
        <v/>
      </c>
    </row>
    <row r="23" ht="15" customHeight="1" spans="1:8">
      <c r="A23" s="10"/>
      <c r="B23" s="10"/>
      <c r="C23" s="10"/>
      <c r="D23" s="11"/>
      <c r="E23" s="11"/>
      <c r="F23" s="37" t="str">
        <f t="shared" si="0"/>
        <v/>
      </c>
      <c r="G23" s="17"/>
      <c r="H23" s="18" t="str">
        <f t="shared" si="1"/>
        <v/>
      </c>
    </row>
    <row r="24" ht="15" customHeight="1" spans="1:8">
      <c r="A24" s="10"/>
      <c r="B24" s="10"/>
      <c r="C24" s="10"/>
      <c r="D24" s="11"/>
      <c r="E24" s="11"/>
      <c r="F24" s="37" t="str">
        <f t="shared" si="0"/>
        <v/>
      </c>
      <c r="G24" s="17"/>
      <c r="H24" s="18" t="str">
        <f t="shared" si="1"/>
        <v/>
      </c>
    </row>
    <row r="25" ht="15" customHeight="1" spans="1:8">
      <c r="A25" s="10"/>
      <c r="B25" s="10"/>
      <c r="C25" s="10"/>
      <c r="D25" s="11"/>
      <c r="E25" s="11"/>
      <c r="F25" s="37" t="str">
        <f t="shared" si="0"/>
        <v/>
      </c>
      <c r="G25" s="17"/>
      <c r="H25" s="18" t="str">
        <f t="shared" si="1"/>
        <v/>
      </c>
    </row>
    <row r="26" ht="15" customHeight="1" spans="1:8">
      <c r="A26" s="10"/>
      <c r="B26" s="10"/>
      <c r="C26" s="10"/>
      <c r="D26" s="11"/>
      <c r="E26" s="11"/>
      <c r="F26" s="37" t="str">
        <f t="shared" si="0"/>
        <v/>
      </c>
      <c r="G26" s="17"/>
      <c r="H26" s="18" t="str">
        <f t="shared" si="1"/>
        <v/>
      </c>
    </row>
    <row r="27" ht="15" customHeight="1" spans="1:8">
      <c r="A27" s="10"/>
      <c r="B27" s="10"/>
      <c r="C27" s="10"/>
      <c r="D27" s="11"/>
      <c r="E27" s="11"/>
      <c r="F27" s="37" t="str">
        <f t="shared" si="0"/>
        <v/>
      </c>
      <c r="G27" s="17"/>
      <c r="H27" s="18" t="str">
        <f t="shared" si="1"/>
        <v/>
      </c>
    </row>
    <row r="28" ht="15" customHeight="1" spans="1:8">
      <c r="A28" s="10"/>
      <c r="B28" s="10"/>
      <c r="C28" s="10"/>
      <c r="D28" s="11"/>
      <c r="E28" s="11"/>
      <c r="F28" s="37" t="str">
        <f t="shared" si="0"/>
        <v/>
      </c>
      <c r="G28" s="17"/>
      <c r="H28" s="18" t="str">
        <f t="shared" si="1"/>
        <v/>
      </c>
    </row>
    <row r="29" ht="15" customHeight="1" spans="1:8">
      <c r="A29" s="10"/>
      <c r="B29" s="10"/>
      <c r="C29" s="10"/>
      <c r="D29" s="11"/>
      <c r="E29" s="11"/>
      <c r="F29" s="37" t="str">
        <f t="shared" si="0"/>
        <v/>
      </c>
      <c r="G29" s="17"/>
      <c r="H29" s="18" t="str">
        <f t="shared" si="1"/>
        <v/>
      </c>
    </row>
    <row r="30" ht="15" customHeight="1" spans="1:8">
      <c r="A30" s="10"/>
      <c r="B30" s="10"/>
      <c r="C30" s="10"/>
      <c r="D30" s="11"/>
      <c r="E30" s="11"/>
      <c r="F30" s="37" t="str">
        <f t="shared" si="0"/>
        <v/>
      </c>
      <c r="G30" s="17"/>
      <c r="H30" s="18" t="str">
        <f t="shared" si="1"/>
        <v/>
      </c>
    </row>
    <row r="31" ht="15" customHeight="1" spans="1:8">
      <c r="A31" s="10"/>
      <c r="B31" s="10"/>
      <c r="C31" s="10"/>
      <c r="D31" s="11"/>
      <c r="E31" s="11"/>
      <c r="F31" s="37" t="str">
        <f t="shared" si="0"/>
        <v/>
      </c>
      <c r="G31" s="17"/>
      <c r="H31" s="18" t="str">
        <f t="shared" si="1"/>
        <v/>
      </c>
    </row>
    <row r="32" ht="15" customHeight="1" spans="1:8">
      <c r="A32" s="10"/>
      <c r="B32" s="10"/>
      <c r="C32" s="10"/>
      <c r="D32" s="11"/>
      <c r="E32" s="11"/>
      <c r="F32" s="37" t="str">
        <f t="shared" si="0"/>
        <v/>
      </c>
      <c r="G32" s="17"/>
      <c r="H32" s="18" t="str">
        <f t="shared" si="1"/>
        <v/>
      </c>
    </row>
    <row r="33" ht="15" customHeight="1" spans="1:8">
      <c r="A33" s="10"/>
      <c r="B33" s="10"/>
      <c r="C33" s="10"/>
      <c r="D33" s="11"/>
      <c r="E33" s="11"/>
      <c r="F33" s="37" t="str">
        <f t="shared" si="0"/>
        <v/>
      </c>
      <c r="G33" s="17"/>
      <c r="H33" s="18" t="str">
        <f t="shared" si="1"/>
        <v/>
      </c>
    </row>
    <row r="34" ht="15" customHeight="1" spans="1:8">
      <c r="A34" s="10"/>
      <c r="B34" s="10"/>
      <c r="C34" s="10"/>
      <c r="D34" s="11"/>
      <c r="E34" s="11"/>
      <c r="F34" s="37" t="str">
        <f t="shared" si="0"/>
        <v/>
      </c>
      <c r="G34" s="17"/>
      <c r="H34" s="18" t="str">
        <f t="shared" si="1"/>
        <v/>
      </c>
    </row>
    <row r="35" ht="15" customHeight="1" spans="1:8">
      <c r="A35" s="10"/>
      <c r="B35" s="10"/>
      <c r="C35" s="10"/>
      <c r="D35" s="11"/>
      <c r="E35" s="11"/>
      <c r="F35" s="37" t="str">
        <f t="shared" si="0"/>
        <v/>
      </c>
      <c r="G35" s="17"/>
      <c r="H35" s="18" t="str">
        <f t="shared" si="1"/>
        <v/>
      </c>
    </row>
    <row r="37" ht="15" customHeight="1" spans="1:8">
      <c r="A37" s="24" t="s">
        <v>57</v>
      </c>
      <c r="F37" s="38">
        <f>SUM(F6:F35)</f>
        <v>3</v>
      </c>
      <c r="H37" s="39">
        <f>SUM(H6:H35)</f>
        <v>45</v>
      </c>
    </row>
    <row r="39" ht="15" customHeight="1" spans="1:8">
      <c r="A39" s="12" t="s">
        <v>58</v>
      </c>
      <c r="B39" s="12"/>
      <c r="C39" s="12"/>
      <c r="D39" s="12"/>
      <c r="E39" s="12"/>
      <c r="F39" s="12"/>
      <c r="G39" s="12"/>
      <c r="H39" s="12"/>
    </row>
  </sheetData>
  <mergeCells count="3">
    <mergeCell ref="A1:H1"/>
    <mergeCell ref="A2:H2"/>
    <mergeCell ref="A39:H39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showGridLines="0" workbookViewId="0">
      <selection activeCell="A1" sqref="A1"/>
    </sheetView>
  </sheetViews>
  <sheetFormatPr defaultColWidth="8.67592592592593" defaultRowHeight="14.4"/>
  <cols>
    <col min="1" max="1" width="12" style="5" customWidth="1"/>
    <col min="2" max="2" width="40" style="5" customWidth="1"/>
    <col min="3" max="3" width="10" style="5" customWidth="1"/>
    <col min="4" max="4" width="12" style="5" customWidth="1"/>
    <col min="5" max="5" width="14" style="5" customWidth="1"/>
  </cols>
  <sheetData>
    <row r="1" ht="31.5" customHeight="1" spans="1:10">
      <c r="A1" s="23" t="s">
        <v>59</v>
      </c>
      <c r="F1" s="24" t="s">
        <v>60</v>
      </c>
      <c r="G1" s="25" t="s">
        <v>60</v>
      </c>
      <c r="H1" t="str">
        <f>Settings!B8&amp;"0001"</f>
        <v>INV-0001</v>
      </c>
      <c r="I1" s="3" t="s">
        <v>61</v>
      </c>
      <c r="J1" s="26" t="s">
        <v>62</v>
      </c>
    </row>
    <row r="2" ht="15" customHeight="1" spans="1:10">
      <c r="A2" s="27" t="str">
        <f>Settings!B4&amp;" — "&amp;Settings!B6</f>
        <v>[Your Business Name] — Virtual Assistant · Technical Support · Content &amp; Video Editing</v>
      </c>
      <c r="F2" s="24" t="s">
        <v>63</v>
      </c>
      <c r="G2" s="25" t="s">
        <v>53</v>
      </c>
    </row>
    <row r="3" ht="15" customHeight="1" spans="1:10">
      <c r="A3" s="8"/>
      <c r="B3" s="8"/>
      <c r="C3" s="8"/>
      <c r="D3" s="8"/>
      <c r="E3" s="8"/>
      <c r="F3" s="28" t="s">
        <v>64</v>
      </c>
      <c r="G3" s="29" t="s">
        <v>65</v>
      </c>
      <c r="H3" s="8"/>
    </row>
    <row r="4" ht="15.15"/>
    <row r="5" ht="15" customHeight="1" spans="1:10">
      <c r="A5" s="15" t="s">
        <v>66</v>
      </c>
    </row>
    <row r="6" ht="15" customHeight="1" spans="1:10">
      <c r="A6" s="25" t="s">
        <v>67</v>
      </c>
    </row>
    <row r="7" ht="15" customHeight="1" spans="1:10">
      <c r="A7" s="25" t="s">
        <v>68</v>
      </c>
    </row>
    <row r="8" ht="15" customHeight="1" spans="1:10">
      <c r="A8" s="25" t="s">
        <v>69</v>
      </c>
    </row>
    <row r="10" ht="25.5" customHeight="1" spans="1:10">
      <c r="A10" s="9" t="s">
        <v>47</v>
      </c>
      <c r="B10" s="9" t="s">
        <v>70</v>
      </c>
      <c r="C10" s="9" t="s">
        <v>30</v>
      </c>
      <c r="D10" s="9" t="s">
        <v>71</v>
      </c>
      <c r="E10" s="9" t="s">
        <v>72</v>
      </c>
    </row>
    <row r="11" ht="15" customHeight="1" spans="1:10">
      <c r="A11" s="10" t="s">
        <v>53</v>
      </c>
      <c r="B11" s="10" t="s">
        <v>54</v>
      </c>
      <c r="C11" s="30">
        <v>10</v>
      </c>
      <c r="D11" s="17">
        <v>15</v>
      </c>
      <c r="E11" s="18">
        <f>C11*D11</f>
        <v>150</v>
      </c>
    </row>
    <row r="12" ht="15" customHeight="1" spans="1:10">
      <c r="A12" s="10"/>
      <c r="B12" s="10"/>
      <c r="C12" s="30"/>
      <c r="D12" s="17"/>
      <c r="E12" s="18" t="str">
        <f t="shared" ref="E12:E20" si="0">IF(C12="","",C12*D12)</f>
        <v/>
      </c>
    </row>
    <row r="13" ht="15" customHeight="1" spans="1:10">
      <c r="A13" s="10"/>
      <c r="B13" s="10"/>
      <c r="C13" s="30"/>
      <c r="D13" s="17"/>
      <c r="E13" s="18" t="str">
        <f t="shared" si="0"/>
        <v/>
      </c>
    </row>
    <row r="14" ht="15" customHeight="1" spans="1:10">
      <c r="A14" s="10"/>
      <c r="B14" s="10"/>
      <c r="C14" s="30"/>
      <c r="D14" s="17"/>
      <c r="E14" s="18" t="str">
        <f t="shared" si="0"/>
        <v/>
      </c>
    </row>
    <row r="15" ht="15" customHeight="1" spans="1:10">
      <c r="A15" s="10"/>
      <c r="B15" s="10"/>
      <c r="C15" s="30"/>
      <c r="D15" s="17"/>
      <c r="E15" s="18" t="str">
        <f t="shared" si="0"/>
        <v/>
      </c>
    </row>
    <row r="16" ht="15" customHeight="1" spans="1:10">
      <c r="A16" s="10"/>
      <c r="B16" s="10"/>
      <c r="C16" s="30"/>
      <c r="D16" s="17"/>
      <c r="E16" s="18" t="str">
        <f t="shared" si="0"/>
        <v/>
      </c>
    </row>
    <row r="17" ht="15" customHeight="1" spans="1:5">
      <c r="A17" s="10"/>
      <c r="B17" s="10"/>
      <c r="C17" s="30"/>
      <c r="D17" s="17"/>
      <c r="E17" s="18" t="str">
        <f t="shared" si="0"/>
        <v/>
      </c>
    </row>
    <row r="18" ht="15" customHeight="1" spans="1:5">
      <c r="A18" s="10"/>
      <c r="B18" s="10"/>
      <c r="C18" s="30"/>
      <c r="D18" s="17"/>
      <c r="E18" s="18" t="str">
        <f t="shared" si="0"/>
        <v/>
      </c>
    </row>
    <row r="19" ht="15" customHeight="1" spans="1:5">
      <c r="A19" s="10"/>
      <c r="B19" s="10"/>
      <c r="C19" s="30"/>
      <c r="D19" s="17"/>
      <c r="E19" s="18" t="str">
        <f t="shared" si="0"/>
        <v/>
      </c>
    </row>
    <row r="20" ht="15" customHeight="1" spans="1:5">
      <c r="A20" s="10"/>
      <c r="B20" s="10"/>
      <c r="C20" s="30"/>
      <c r="D20" s="17"/>
      <c r="E20" s="18" t="str">
        <f t="shared" si="0"/>
        <v/>
      </c>
    </row>
    <row r="22" ht="15" customHeight="1" spans="1:5">
      <c r="B22" s="24" t="s">
        <v>73</v>
      </c>
      <c r="E22" s="31">
        <f>SUM(E11:E20)</f>
        <v>150</v>
      </c>
    </row>
    <row r="23" ht="15" customHeight="1" spans="1:5">
      <c r="B23" s="5" t="s">
        <v>74</v>
      </c>
      <c r="C23" s="32">
        <v>0</v>
      </c>
      <c r="E23" s="33">
        <f>E22*C23</f>
        <v>0</v>
      </c>
    </row>
    <row r="24" ht="15.75" customHeight="1" spans="1:5">
      <c r="B24" s="34" t="s">
        <v>75</v>
      </c>
      <c r="E24" s="35">
        <f>E22-E23</f>
        <v>150</v>
      </c>
    </row>
    <row r="26" ht="15" customHeight="1" spans="1:5">
      <c r="A26" s="15" t="s">
        <v>76</v>
      </c>
    </row>
    <row r="27" ht="15" customHeight="1" spans="1:5">
      <c r="A27" s="36" t="s">
        <v>77</v>
      </c>
      <c r="B27" s="36"/>
      <c r="C27" s="36"/>
      <c r="D27" s="36"/>
      <c r="E27" s="36"/>
    </row>
    <row r="29" ht="15" customHeight="1" spans="1:5">
      <c r="A29" s="27" t="s">
        <v>78</v>
      </c>
    </row>
    <row r="31" ht="15" customHeight="1" spans="1:5">
      <c r="A31" s="12" t="s">
        <v>79</v>
      </c>
      <c r="B31" s="12"/>
      <c r="C31" s="12"/>
      <c r="D31" s="12"/>
      <c r="E31" s="12"/>
    </row>
  </sheetData>
  <mergeCells count="2">
    <mergeCell ref="A27:E27"/>
    <mergeCell ref="A31:E31"/>
  </mergeCells>
  <conditionalFormatting sqref="J1">
    <cfRule type="expression" dxfId="0" priority="2">
      <formula>$J$1="Overdue"</formula>
    </cfRule>
    <cfRule type="expression" dxfId="1" priority="3">
      <formula>$J$1="Paid"</formula>
    </cfRule>
  </conditionalFormatting>
  <dataValidations count="1">
    <dataValidation type="list" allowBlank="1" sqref="J1">
      <formula1>"Unpaid,Paid,Overdue"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abSelected="1" workbookViewId="0">
      <pane ySplit="5" topLeftCell="A6" activePane="bottomLeft" state="frozen"/>
      <selection/>
      <selection pane="bottomLeft" activeCell="A9" sqref="A9"/>
    </sheetView>
  </sheetViews>
  <sheetFormatPr defaultColWidth="8.67592592592593" defaultRowHeight="14.4" outlineLevelCol="6"/>
  <cols>
    <col min="1" max="1" width="12" style="5" customWidth="1"/>
    <col min="2" max="2" width="26" style="5" customWidth="1"/>
    <col min="3" max="3" width="18" style="5" customWidth="1"/>
    <col min="4" max="4" width="16" style="5" customWidth="1"/>
    <col min="5" max="5" width="10" style="5" customWidth="1"/>
    <col min="6" max="6" width="14" style="5" customWidth="1"/>
    <col min="7" max="7" width="18" style="5" customWidth="1"/>
  </cols>
  <sheetData>
    <row r="1" ht="24" customHeight="1" spans="1:7">
      <c r="A1" s="6" t="s">
        <v>80</v>
      </c>
      <c r="B1" s="6"/>
      <c r="C1" s="6"/>
      <c r="D1" s="6"/>
      <c r="E1" s="6"/>
      <c r="F1" s="6"/>
      <c r="G1" s="6"/>
    </row>
    <row r="2" ht="15" customHeight="1" spans="1:7">
      <c r="A2" s="7" t="s">
        <v>81</v>
      </c>
      <c r="B2" s="7"/>
      <c r="C2" s="7"/>
      <c r="D2" s="7"/>
      <c r="E2" s="7"/>
      <c r="F2" s="7"/>
      <c r="G2" s="7"/>
    </row>
    <row r="3" ht="15" customHeight="1" spans="1:7">
      <c r="A3" s="8"/>
      <c r="B3" s="8"/>
      <c r="C3" s="8"/>
      <c r="D3" s="8"/>
      <c r="E3" s="8"/>
      <c r="F3" s="8"/>
      <c r="G3" s="8"/>
    </row>
    <row r="4" ht="15.15"/>
    <row r="5" ht="25.5" customHeight="1" spans="1:7">
      <c r="A5" s="9" t="s">
        <v>47</v>
      </c>
      <c r="B5" s="9" t="s">
        <v>70</v>
      </c>
      <c r="C5" s="9" t="s">
        <v>82</v>
      </c>
      <c r="D5" s="9" t="s">
        <v>83</v>
      </c>
      <c r="E5" s="9" t="s">
        <v>84</v>
      </c>
      <c r="F5" s="9" t="s">
        <v>72</v>
      </c>
      <c r="G5" s="9" t="s">
        <v>85</v>
      </c>
    </row>
    <row r="6" ht="15" customHeight="1" spans="1:7">
      <c r="A6" s="10" t="s">
        <v>53</v>
      </c>
      <c r="B6" s="10" t="s">
        <v>86</v>
      </c>
      <c r="C6" s="10" t="s">
        <v>31</v>
      </c>
      <c r="D6" s="10" t="s">
        <v>87</v>
      </c>
      <c r="E6" s="10" t="s">
        <v>88</v>
      </c>
      <c r="F6" s="17">
        <v>450</v>
      </c>
      <c r="G6" s="18">
        <f>F6</f>
        <v>450</v>
      </c>
    </row>
    <row r="7" ht="15" customHeight="1" spans="1:7">
      <c r="A7" s="10"/>
      <c r="B7" s="10"/>
      <c r="C7" s="10"/>
      <c r="D7" s="10" t="s">
        <v>87</v>
      </c>
      <c r="E7" s="10" t="s">
        <v>88</v>
      </c>
      <c r="F7" s="17">
        <v>200</v>
      </c>
      <c r="G7" s="18">
        <f t="shared" ref="G7:G45" si="0">IF(F7="","",G6+IF(E7="Expense",-F7,F7))</f>
        <v>650</v>
      </c>
    </row>
    <row r="8" ht="15" customHeight="1" spans="1:7">
      <c r="A8" s="19">
        <v>46214</v>
      </c>
      <c r="B8" s="10"/>
      <c r="C8" s="10"/>
      <c r="D8" s="10" t="s">
        <v>89</v>
      </c>
      <c r="E8" s="10" t="s">
        <v>90</v>
      </c>
      <c r="F8" s="17">
        <v>630</v>
      </c>
      <c r="G8" s="18">
        <f t="shared" si="0"/>
        <v>20</v>
      </c>
    </row>
    <row r="9" ht="15" customHeight="1" spans="1:7">
      <c r="A9" s="10"/>
      <c r="B9" s="10"/>
      <c r="C9" s="10"/>
      <c r="D9" s="10"/>
      <c r="E9" s="10"/>
      <c r="F9" s="17"/>
      <c r="G9" s="18" t="str">
        <f t="shared" si="0"/>
        <v/>
      </c>
    </row>
    <row r="10" ht="15" customHeight="1" spans="1:7">
      <c r="A10" s="10"/>
      <c r="B10" s="10"/>
      <c r="C10" s="10"/>
      <c r="D10" s="10"/>
      <c r="E10" s="10"/>
      <c r="F10" s="17"/>
      <c r="G10" s="18" t="str">
        <f t="shared" si="0"/>
        <v/>
      </c>
    </row>
    <row r="11" ht="15" customHeight="1" spans="1:7">
      <c r="A11" s="10"/>
      <c r="B11" s="10"/>
      <c r="C11" s="10"/>
      <c r="D11" s="10"/>
      <c r="E11" s="10"/>
      <c r="F11" s="17"/>
      <c r="G11" s="18" t="str">
        <f t="shared" si="0"/>
        <v/>
      </c>
    </row>
    <row r="12" ht="15" customHeight="1" spans="1:7">
      <c r="A12" s="10"/>
      <c r="B12" s="10"/>
      <c r="C12" s="10"/>
      <c r="D12" s="10"/>
      <c r="E12" s="10"/>
      <c r="F12" s="17"/>
      <c r="G12" s="18" t="str">
        <f t="shared" si="0"/>
        <v/>
      </c>
    </row>
    <row r="13" ht="15" customHeight="1" spans="1:7">
      <c r="A13" s="10"/>
      <c r="B13" s="10"/>
      <c r="C13" s="10"/>
      <c r="D13" s="10"/>
      <c r="E13" s="10"/>
      <c r="F13" s="17"/>
      <c r="G13" s="18" t="str">
        <f t="shared" si="0"/>
        <v/>
      </c>
    </row>
    <row r="14" ht="15" customHeight="1" spans="1:7">
      <c r="A14" s="10"/>
      <c r="B14" s="10"/>
      <c r="C14" s="10"/>
      <c r="D14" s="10"/>
      <c r="E14" s="10"/>
      <c r="F14" s="17"/>
      <c r="G14" s="18" t="str">
        <f t="shared" si="0"/>
        <v/>
      </c>
    </row>
    <row r="15" ht="15" customHeight="1" spans="1:7">
      <c r="A15" s="10"/>
      <c r="B15" s="10"/>
      <c r="C15" s="10"/>
      <c r="D15" s="10"/>
      <c r="E15" s="10"/>
      <c r="F15" s="17"/>
      <c r="G15" s="18" t="str">
        <f t="shared" si="0"/>
        <v/>
      </c>
    </row>
    <row r="16" ht="15" customHeight="1" spans="1:7">
      <c r="A16" s="10"/>
      <c r="B16" s="10"/>
      <c r="C16" s="10"/>
      <c r="D16" s="10"/>
      <c r="E16" s="10"/>
      <c r="F16" s="17"/>
      <c r="G16" s="18" t="str">
        <f t="shared" si="0"/>
        <v/>
      </c>
    </row>
    <row r="17" ht="15" customHeight="1" spans="1:7">
      <c r="A17" s="10"/>
      <c r="B17" s="10"/>
      <c r="C17" s="10"/>
      <c r="D17" s="10"/>
      <c r="E17" s="10"/>
      <c r="F17" s="17"/>
      <c r="G17" s="18" t="str">
        <f t="shared" si="0"/>
        <v/>
      </c>
    </row>
    <row r="18" ht="15" customHeight="1" spans="1:7">
      <c r="A18" s="10"/>
      <c r="B18" s="10"/>
      <c r="C18" s="10"/>
      <c r="D18" s="10"/>
      <c r="E18" s="10"/>
      <c r="F18" s="17"/>
      <c r="G18" s="18" t="str">
        <f t="shared" si="0"/>
        <v/>
      </c>
    </row>
    <row r="19" ht="15" customHeight="1" spans="1:7">
      <c r="A19" s="10"/>
      <c r="B19" s="10"/>
      <c r="C19" s="10"/>
      <c r="D19" s="10"/>
      <c r="E19" s="10"/>
      <c r="F19" s="17"/>
      <c r="G19" s="18" t="str">
        <f t="shared" si="0"/>
        <v/>
      </c>
    </row>
    <row r="20" ht="15" customHeight="1" spans="1:7">
      <c r="A20" s="10"/>
      <c r="B20" s="10"/>
      <c r="C20" s="10"/>
      <c r="D20" s="10"/>
      <c r="E20" s="10"/>
      <c r="F20" s="17"/>
      <c r="G20" s="18" t="str">
        <f t="shared" si="0"/>
        <v/>
      </c>
    </row>
    <row r="21" ht="15" customHeight="1" spans="1:7">
      <c r="A21" s="10"/>
      <c r="B21" s="10"/>
      <c r="C21" s="10"/>
      <c r="D21" s="10"/>
      <c r="E21" s="10"/>
      <c r="F21" s="17"/>
      <c r="G21" s="18" t="str">
        <f t="shared" si="0"/>
        <v/>
      </c>
    </row>
    <row r="22" ht="15" customHeight="1" spans="1:7">
      <c r="A22" s="10"/>
      <c r="B22" s="10"/>
      <c r="C22" s="10"/>
      <c r="D22" s="10"/>
      <c r="E22" s="10"/>
      <c r="F22" s="17"/>
      <c r="G22" s="18" t="str">
        <f t="shared" si="0"/>
        <v/>
      </c>
    </row>
    <row r="23" ht="15" customHeight="1" spans="1:7">
      <c r="A23" s="10"/>
      <c r="B23" s="10"/>
      <c r="C23" s="10"/>
      <c r="D23" s="10"/>
      <c r="E23" s="10"/>
      <c r="F23" s="17"/>
      <c r="G23" s="18" t="str">
        <f t="shared" si="0"/>
        <v/>
      </c>
    </row>
    <row r="24" ht="15" customHeight="1" spans="1:7">
      <c r="A24" s="10"/>
      <c r="B24" s="10"/>
      <c r="C24" s="10"/>
      <c r="D24" s="10"/>
      <c r="E24" s="10"/>
      <c r="F24" s="17"/>
      <c r="G24" s="18" t="str">
        <f t="shared" si="0"/>
        <v/>
      </c>
    </row>
    <row r="25" ht="15" customHeight="1" spans="1:7">
      <c r="A25" s="10"/>
      <c r="B25" s="10"/>
      <c r="C25" s="10"/>
      <c r="D25" s="10"/>
      <c r="E25" s="10"/>
      <c r="F25" s="17"/>
      <c r="G25" s="18" t="str">
        <f t="shared" si="0"/>
        <v/>
      </c>
    </row>
    <row r="26" ht="15" customHeight="1" spans="1:7">
      <c r="A26" s="10"/>
      <c r="B26" s="10"/>
      <c r="C26" s="10"/>
      <c r="D26" s="10"/>
      <c r="E26" s="10"/>
      <c r="F26" s="17"/>
      <c r="G26" s="18" t="str">
        <f t="shared" si="0"/>
        <v/>
      </c>
    </row>
    <row r="27" ht="15" customHeight="1" spans="1:7">
      <c r="A27" s="10"/>
      <c r="B27" s="10"/>
      <c r="C27" s="10"/>
      <c r="D27" s="10"/>
      <c r="E27" s="10"/>
      <c r="F27" s="17"/>
      <c r="G27" s="18" t="str">
        <f t="shared" si="0"/>
        <v/>
      </c>
    </row>
    <row r="28" ht="15" customHeight="1" spans="1:7">
      <c r="A28" s="10"/>
      <c r="B28" s="10"/>
      <c r="C28" s="10"/>
      <c r="D28" s="10"/>
      <c r="E28" s="10"/>
      <c r="F28" s="17"/>
      <c r="G28" s="18" t="str">
        <f t="shared" si="0"/>
        <v/>
      </c>
    </row>
    <row r="29" ht="15" customHeight="1" spans="1:7">
      <c r="A29" s="10"/>
      <c r="B29" s="10"/>
      <c r="C29" s="10"/>
      <c r="D29" s="10"/>
      <c r="E29" s="10"/>
      <c r="F29" s="17"/>
      <c r="G29" s="18" t="str">
        <f t="shared" si="0"/>
        <v/>
      </c>
    </row>
    <row r="30" ht="15" customHeight="1" spans="1:7">
      <c r="A30" s="10"/>
      <c r="B30" s="10"/>
      <c r="C30" s="10"/>
      <c r="D30" s="10"/>
      <c r="E30" s="10"/>
      <c r="F30" s="17"/>
      <c r="G30" s="18" t="str">
        <f t="shared" si="0"/>
        <v/>
      </c>
    </row>
    <row r="31" ht="15" customHeight="1" spans="1:7">
      <c r="A31" s="10"/>
      <c r="B31" s="10"/>
      <c r="C31" s="10"/>
      <c r="D31" s="10"/>
      <c r="E31" s="10"/>
      <c r="F31" s="17"/>
      <c r="G31" s="18" t="str">
        <f t="shared" si="0"/>
        <v/>
      </c>
    </row>
    <row r="32" ht="15" customHeight="1" spans="1:7">
      <c r="A32" s="10"/>
      <c r="B32" s="10"/>
      <c r="C32" s="10"/>
      <c r="D32" s="10"/>
      <c r="E32" s="10"/>
      <c r="F32" s="17"/>
      <c r="G32" s="18" t="str">
        <f t="shared" si="0"/>
        <v/>
      </c>
    </row>
    <row r="33" ht="15" customHeight="1" spans="1:7">
      <c r="A33" s="10"/>
      <c r="B33" s="10"/>
      <c r="C33" s="10"/>
      <c r="D33" s="10"/>
      <c r="E33" s="10"/>
      <c r="F33" s="17"/>
      <c r="G33" s="18" t="str">
        <f t="shared" si="0"/>
        <v/>
      </c>
    </row>
    <row r="34" ht="15" customHeight="1" spans="1:7">
      <c r="A34" s="10"/>
      <c r="B34" s="10"/>
      <c r="C34" s="10"/>
      <c r="D34" s="10"/>
      <c r="E34" s="10"/>
      <c r="F34" s="17"/>
      <c r="G34" s="18" t="str">
        <f t="shared" si="0"/>
        <v/>
      </c>
    </row>
    <row r="35" ht="15" customHeight="1" spans="1:7">
      <c r="A35" s="10"/>
      <c r="B35" s="10"/>
      <c r="C35" s="10"/>
      <c r="D35" s="10"/>
      <c r="E35" s="10"/>
      <c r="F35" s="17"/>
      <c r="G35" s="18" t="str">
        <f t="shared" si="0"/>
        <v/>
      </c>
    </row>
    <row r="36" ht="15" customHeight="1" spans="1:7">
      <c r="A36" s="10"/>
      <c r="B36" s="10"/>
      <c r="C36" s="10"/>
      <c r="D36" s="10"/>
      <c r="E36" s="10"/>
      <c r="F36" s="17"/>
      <c r="G36" s="18" t="str">
        <f t="shared" si="0"/>
        <v/>
      </c>
    </row>
    <row r="37" ht="15" customHeight="1" spans="1:7">
      <c r="A37" s="10"/>
      <c r="B37" s="10"/>
      <c r="C37" s="10"/>
      <c r="D37" s="10"/>
      <c r="E37" s="10"/>
      <c r="F37" s="17"/>
      <c r="G37" s="18" t="str">
        <f t="shared" si="0"/>
        <v/>
      </c>
    </row>
    <row r="38" ht="15" customHeight="1" spans="1:7">
      <c r="A38" s="10"/>
      <c r="B38" s="10"/>
      <c r="C38" s="10"/>
      <c r="D38" s="10"/>
      <c r="E38" s="10"/>
      <c r="F38" s="17"/>
      <c r="G38" s="18" t="str">
        <f t="shared" si="0"/>
        <v/>
      </c>
    </row>
    <row r="39" ht="15" customHeight="1" spans="1:7">
      <c r="A39" s="10"/>
      <c r="B39" s="10"/>
      <c r="C39" s="10"/>
      <c r="D39" s="10"/>
      <c r="E39" s="10"/>
      <c r="F39" s="17"/>
      <c r="G39" s="18" t="str">
        <f t="shared" si="0"/>
        <v/>
      </c>
    </row>
    <row r="40" ht="15" customHeight="1" spans="1:7">
      <c r="A40" s="10"/>
      <c r="B40" s="10"/>
      <c r="C40" s="10"/>
      <c r="D40" s="10"/>
      <c r="E40" s="10"/>
      <c r="F40" s="17"/>
      <c r="G40" s="18" t="str">
        <f t="shared" si="0"/>
        <v/>
      </c>
    </row>
    <row r="41" ht="15" customHeight="1" spans="1:7">
      <c r="A41" s="10"/>
      <c r="B41" s="10"/>
      <c r="C41" s="10"/>
      <c r="D41" s="10"/>
      <c r="E41" s="10"/>
      <c r="F41" s="17"/>
      <c r="G41" s="18" t="str">
        <f t="shared" si="0"/>
        <v/>
      </c>
    </row>
    <row r="42" ht="15" customHeight="1" spans="1:7">
      <c r="A42" s="10"/>
      <c r="B42" s="10"/>
      <c r="C42" s="10"/>
      <c r="D42" s="10"/>
      <c r="E42" s="10"/>
      <c r="F42" s="17"/>
      <c r="G42" s="18" t="str">
        <f t="shared" si="0"/>
        <v/>
      </c>
    </row>
    <row r="43" ht="15" customHeight="1" spans="1:7">
      <c r="A43" s="10"/>
      <c r="B43" s="10"/>
      <c r="C43" s="10"/>
      <c r="D43" s="10"/>
      <c r="E43" s="10"/>
      <c r="F43" s="17"/>
      <c r="G43" s="18" t="str">
        <f t="shared" si="0"/>
        <v/>
      </c>
    </row>
    <row r="44" ht="15" customHeight="1" spans="1:7">
      <c r="A44" s="10"/>
      <c r="B44" s="10"/>
      <c r="C44" s="10"/>
      <c r="D44" s="10"/>
      <c r="E44" s="10"/>
      <c r="F44" s="17"/>
      <c r="G44" s="18" t="str">
        <f t="shared" si="0"/>
        <v/>
      </c>
    </row>
    <row r="45" ht="15" customHeight="1" spans="1:7">
      <c r="A45" s="10"/>
      <c r="B45" s="10"/>
      <c r="C45" s="10"/>
      <c r="D45" s="10"/>
      <c r="E45" s="10"/>
      <c r="F45" s="17"/>
      <c r="G45" s="18" t="str">
        <f t="shared" si="0"/>
        <v/>
      </c>
    </row>
    <row r="48" ht="15" customHeight="1" spans="1:7">
      <c r="A48" s="15" t="s">
        <v>91</v>
      </c>
    </row>
    <row r="49" ht="25.5" customHeight="1" spans="1:7">
      <c r="A49" s="9" t="s">
        <v>83</v>
      </c>
      <c r="B49" s="9" t="s">
        <v>92</v>
      </c>
      <c r="C49" s="9" t="s">
        <v>93</v>
      </c>
    </row>
    <row r="50" ht="15" customHeight="1" spans="1:7">
      <c r="A50" s="16" t="s">
        <v>87</v>
      </c>
      <c r="B50" s="20">
        <f t="shared" ref="B50:B57" si="1">SUMIFS($F$6:$F$45,$D$6:$D$45,A50,$E$6:$E$45,"Income")</f>
        <v>650</v>
      </c>
      <c r="C50" s="20">
        <f t="shared" ref="C50:C57" si="2">SUMIFS($F$6:$F$45,$D$6:$D$45,A50,$E$6:$E$45,"Expense")</f>
        <v>0</v>
      </c>
    </row>
    <row r="51" ht="15" customHeight="1" spans="1:7">
      <c r="A51" s="16" t="s">
        <v>94</v>
      </c>
      <c r="B51" s="20">
        <f t="shared" si="1"/>
        <v>0</v>
      </c>
      <c r="C51" s="20">
        <f t="shared" si="2"/>
        <v>0</v>
      </c>
    </row>
    <row r="52" ht="15" customHeight="1" spans="1:7">
      <c r="A52" s="16" t="s">
        <v>89</v>
      </c>
      <c r="B52" s="20">
        <f t="shared" si="1"/>
        <v>0</v>
      </c>
      <c r="C52" s="20">
        <f t="shared" si="2"/>
        <v>630</v>
      </c>
    </row>
    <row r="53" ht="15" customHeight="1" spans="1:7">
      <c r="A53" s="16" t="s">
        <v>95</v>
      </c>
      <c r="B53" s="20">
        <f t="shared" si="1"/>
        <v>0</v>
      </c>
      <c r="C53" s="20">
        <f t="shared" si="2"/>
        <v>0</v>
      </c>
    </row>
    <row r="54" ht="15" customHeight="1" spans="1:7">
      <c r="A54" s="16" t="s">
        <v>96</v>
      </c>
      <c r="B54" s="20">
        <f t="shared" si="1"/>
        <v>0</v>
      </c>
      <c r="C54" s="20">
        <f t="shared" si="2"/>
        <v>0</v>
      </c>
    </row>
    <row r="55" ht="15" customHeight="1" spans="1:7">
      <c r="A55" s="16" t="s">
        <v>97</v>
      </c>
      <c r="B55" s="20">
        <f t="shared" si="1"/>
        <v>0</v>
      </c>
      <c r="C55" s="20">
        <f t="shared" si="2"/>
        <v>0</v>
      </c>
    </row>
    <row r="56" ht="15" customHeight="1" spans="1:7">
      <c r="A56" s="16" t="s">
        <v>98</v>
      </c>
      <c r="B56" s="20">
        <f t="shared" si="1"/>
        <v>0</v>
      </c>
      <c r="C56" s="20">
        <f t="shared" si="2"/>
        <v>0</v>
      </c>
    </row>
    <row r="57" ht="15" customHeight="1" spans="1:7">
      <c r="A57" s="16" t="s">
        <v>99</v>
      </c>
      <c r="B57" s="20">
        <f t="shared" si="1"/>
        <v>0</v>
      </c>
      <c r="C57" s="20">
        <f t="shared" si="2"/>
        <v>0</v>
      </c>
    </row>
    <row r="59" ht="15" customHeight="1" spans="1:7">
      <c r="A59" s="12" t="s">
        <v>100</v>
      </c>
      <c r="B59" s="12"/>
      <c r="C59" s="12"/>
      <c r="D59" s="12"/>
      <c r="E59" s="12"/>
      <c r="F59" s="12"/>
      <c r="G59" s="12"/>
    </row>
    <row r="60" spans="1:7">
      <c r="A60" s="21" t="s">
        <v>101</v>
      </c>
    </row>
    <row r="61" spans="1:7">
      <c r="A61" s="13" t="s">
        <v>102</v>
      </c>
      <c r="B61" s="13" t="s">
        <v>92</v>
      </c>
      <c r="C61" s="13" t="s">
        <v>93</v>
      </c>
    </row>
    <row r="62" spans="1:7">
      <c r="A62" s="4" t="s">
        <v>103</v>
      </c>
      <c r="B62" s="22">
        <f t="shared" ref="B62:B67" si="3">SUMPRODUCT((TEXT($A$6:$A$45,"mmm yyyy")=A62)*($E$6:$E$45="Income")*$F$6:$F$45)</f>
        <v>450</v>
      </c>
      <c r="C62" s="22">
        <f t="shared" ref="C62:C67" si="4">SUMPRODUCT((TEXT($A$6:$A$45,"mmm yyyy")=A62)*($E$6:$E$45="Expense")*$F$6:$F$45)</f>
        <v>630</v>
      </c>
    </row>
    <row r="63" spans="1:7">
      <c r="A63" s="4" t="s">
        <v>104</v>
      </c>
      <c r="B63" s="22">
        <f t="shared" si="3"/>
        <v>0</v>
      </c>
      <c r="C63" s="22">
        <f t="shared" si="4"/>
        <v>0</v>
      </c>
    </row>
    <row r="64" spans="1:7">
      <c r="A64" s="4" t="s">
        <v>105</v>
      </c>
      <c r="B64" s="22">
        <f t="shared" si="3"/>
        <v>0</v>
      </c>
      <c r="C64" s="22">
        <f t="shared" si="4"/>
        <v>0</v>
      </c>
    </row>
    <row r="65" spans="1:3">
      <c r="A65" s="4" t="s">
        <v>106</v>
      </c>
      <c r="B65" s="22">
        <f t="shared" si="3"/>
        <v>0</v>
      </c>
      <c r="C65" s="22">
        <f t="shared" si="4"/>
        <v>0</v>
      </c>
    </row>
    <row r="66" spans="1:3">
      <c r="A66" s="4" t="s">
        <v>107</v>
      </c>
      <c r="B66" s="22">
        <f t="shared" si="3"/>
        <v>0</v>
      </c>
      <c r="C66" s="22">
        <f t="shared" si="4"/>
        <v>0</v>
      </c>
    </row>
    <row r="67" spans="1:3">
      <c r="A67" s="4" t="s">
        <v>108</v>
      </c>
      <c r="B67" s="22">
        <f t="shared" si="3"/>
        <v>0</v>
      </c>
      <c r="C67" s="22">
        <f t="shared" si="4"/>
        <v>0</v>
      </c>
    </row>
  </sheetData>
  <mergeCells count="3">
    <mergeCell ref="A1:G1"/>
    <mergeCell ref="A2:G2"/>
    <mergeCell ref="A59:G59"/>
  </mergeCells>
  <conditionalFormatting sqref="G6:G45">
    <cfRule type="cellIs" dxfId="2" priority="2" operator="lessThan">
      <formula>0</formula>
    </cfRule>
  </conditionalFormatting>
  <conditionalFormatting sqref="A6:G45">
    <cfRule type="expression" dxfId="3" priority="3">
      <formula>$E6="Expense"</formula>
    </cfRule>
  </conditionalFormatting>
  <dataValidations count="2">
    <dataValidation type="list" allowBlank="1" sqref="D6:D45">
      <formula1>"Client Payment,Software/Tools,Internet/Phone,Equipment,Training,Marketing,Taxes,Other"</formula1>
    </dataValidation>
    <dataValidation type="list" allowBlank="1" sqref="E6:E45">
      <formula1>"Income,Expense"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8.67592592592593" defaultRowHeight="14.4" outlineLevelCol="7"/>
  <cols>
    <col min="1" max="1" width="16" style="5" customWidth="1"/>
    <col min="2" max="2" width="18" style="5" customWidth="1"/>
    <col min="3" max="3" width="12" style="5" customWidth="1"/>
    <col min="4" max="4" width="22" style="5" customWidth="1"/>
    <col min="5" max="7" width="14" style="5" customWidth="1"/>
    <col min="8" max="8" width="26" style="5" customWidth="1"/>
  </cols>
  <sheetData>
    <row r="1" ht="24" customHeight="1" spans="1:8">
      <c r="A1" s="6" t="s">
        <v>109</v>
      </c>
      <c r="B1" s="6"/>
      <c r="C1" s="6"/>
      <c r="D1" s="6"/>
      <c r="E1" s="6"/>
      <c r="F1" s="6"/>
      <c r="G1" s="6"/>
      <c r="H1" s="6"/>
    </row>
    <row r="2" ht="15" customHeight="1" spans="1:8">
      <c r="A2" s="7" t="s">
        <v>110</v>
      </c>
      <c r="B2" s="7"/>
      <c r="C2" s="7"/>
      <c r="D2" s="7"/>
      <c r="E2" s="7"/>
      <c r="F2" s="7"/>
      <c r="G2" s="7"/>
      <c r="H2" s="7"/>
    </row>
    <row r="3" ht="15" customHeight="1" spans="1:8">
      <c r="A3" s="8"/>
      <c r="B3" s="8"/>
      <c r="C3" s="8"/>
      <c r="D3" s="8"/>
      <c r="E3" s="8"/>
      <c r="F3" s="8"/>
      <c r="G3" s="8"/>
      <c r="H3" s="8"/>
    </row>
    <row r="4" ht="15.15"/>
    <row r="5" ht="25.5" customHeight="1" spans="1:8">
      <c r="A5" s="9" t="s">
        <v>67</v>
      </c>
      <c r="B5" s="9" t="s">
        <v>111</v>
      </c>
      <c r="C5" s="9" t="s">
        <v>112</v>
      </c>
      <c r="D5" s="9" t="s">
        <v>113</v>
      </c>
      <c r="E5" s="9" t="s">
        <v>51</v>
      </c>
      <c r="F5" s="9" t="s">
        <v>114</v>
      </c>
      <c r="G5" s="9" t="s">
        <v>115</v>
      </c>
      <c r="H5" s="9" t="s">
        <v>116</v>
      </c>
    </row>
    <row r="6" ht="15" customHeight="1" spans="1:8">
      <c r="A6" s="10" t="s">
        <v>117</v>
      </c>
      <c r="B6" s="10" t="s">
        <v>31</v>
      </c>
      <c r="C6" s="10" t="s">
        <v>118</v>
      </c>
      <c r="D6" s="10" t="s">
        <v>119</v>
      </c>
      <c r="E6" s="17">
        <v>15</v>
      </c>
      <c r="F6" s="10" t="s">
        <v>120</v>
      </c>
      <c r="G6" s="10" t="s">
        <v>121</v>
      </c>
      <c r="H6" s="10" t="s">
        <v>122</v>
      </c>
    </row>
    <row r="7" ht="15" customHeight="1" spans="1:8">
      <c r="A7" s="10"/>
      <c r="B7" s="10"/>
      <c r="C7" s="10"/>
      <c r="D7" s="10"/>
      <c r="E7" s="17"/>
      <c r="F7" s="10"/>
      <c r="G7" s="10"/>
      <c r="H7" s="10"/>
    </row>
    <row r="8" ht="15" customHeight="1" spans="1:8">
      <c r="A8" s="10"/>
      <c r="B8" s="10"/>
      <c r="C8" s="10"/>
      <c r="D8" s="10"/>
      <c r="E8" s="17"/>
      <c r="F8" s="10"/>
      <c r="G8" s="10"/>
      <c r="H8" s="10"/>
    </row>
    <row r="9" ht="15" customHeight="1" spans="1:8">
      <c r="A9" s="10"/>
      <c r="B9" s="10"/>
      <c r="C9" s="10"/>
      <c r="D9" s="10"/>
      <c r="E9" s="17"/>
      <c r="F9" s="10"/>
      <c r="G9" s="10"/>
      <c r="H9" s="10"/>
    </row>
    <row r="10" ht="15" customHeight="1" spans="1:8">
      <c r="A10" s="10"/>
      <c r="B10" s="10"/>
      <c r="C10" s="10"/>
      <c r="D10" s="10"/>
      <c r="E10" s="17"/>
      <c r="F10" s="10"/>
      <c r="G10" s="10"/>
      <c r="H10" s="10"/>
    </row>
    <row r="11" ht="15" customHeight="1" spans="1:8">
      <c r="A11" s="10"/>
      <c r="B11" s="10"/>
      <c r="C11" s="10"/>
      <c r="D11" s="10"/>
      <c r="E11" s="17"/>
      <c r="F11" s="10"/>
      <c r="G11" s="10"/>
      <c r="H11" s="10"/>
    </row>
    <row r="12" ht="15" customHeight="1" spans="1:8">
      <c r="A12" s="10"/>
      <c r="B12" s="10"/>
      <c r="C12" s="10"/>
      <c r="D12" s="10"/>
      <c r="E12" s="17"/>
      <c r="F12" s="10"/>
      <c r="G12" s="10"/>
      <c r="H12" s="10"/>
    </row>
    <row r="13" ht="15" customHeight="1" spans="1:8">
      <c r="A13" s="10"/>
      <c r="B13" s="10"/>
      <c r="C13" s="10"/>
      <c r="D13" s="10"/>
      <c r="E13" s="17"/>
      <c r="F13" s="10"/>
      <c r="G13" s="10"/>
      <c r="H13" s="10"/>
    </row>
    <row r="14" ht="15" customHeight="1" spans="1:8">
      <c r="A14" s="10"/>
      <c r="B14" s="10"/>
      <c r="C14" s="10"/>
      <c r="D14" s="10"/>
      <c r="E14" s="17"/>
      <c r="F14" s="10"/>
      <c r="G14" s="10"/>
      <c r="H14" s="10"/>
    </row>
    <row r="15" ht="15" customHeight="1" spans="1:8">
      <c r="A15" s="10"/>
      <c r="B15" s="10"/>
      <c r="C15" s="10"/>
      <c r="D15" s="10"/>
      <c r="E15" s="17"/>
      <c r="F15" s="10"/>
      <c r="G15" s="10"/>
      <c r="H15" s="10"/>
    </row>
    <row r="16" ht="15" customHeight="1" spans="1:8">
      <c r="A16" s="10"/>
      <c r="B16" s="10"/>
      <c r="C16" s="10"/>
      <c r="D16" s="10"/>
      <c r="E16" s="17"/>
      <c r="F16" s="10"/>
      <c r="G16" s="10"/>
      <c r="H16" s="10"/>
    </row>
    <row r="17" ht="15" customHeight="1" spans="1:8">
      <c r="A17" s="10"/>
      <c r="B17" s="10"/>
      <c r="C17" s="10"/>
      <c r="D17" s="10"/>
      <c r="E17" s="17"/>
      <c r="F17" s="10"/>
      <c r="G17" s="10"/>
      <c r="H17" s="10"/>
    </row>
    <row r="18" ht="15" customHeight="1" spans="1:8">
      <c r="A18" s="10"/>
      <c r="B18" s="10"/>
      <c r="C18" s="10"/>
      <c r="D18" s="10"/>
      <c r="E18" s="17"/>
      <c r="F18" s="10"/>
      <c r="G18" s="10"/>
      <c r="H18" s="10"/>
    </row>
    <row r="19" ht="15" customHeight="1" spans="1:8">
      <c r="A19" s="10"/>
      <c r="B19" s="10"/>
      <c r="C19" s="10"/>
      <c r="D19" s="10"/>
      <c r="E19" s="17"/>
      <c r="F19" s="10"/>
      <c r="G19" s="10"/>
      <c r="H19" s="10"/>
    </row>
    <row r="20" ht="15" customHeight="1" spans="1:8">
      <c r="A20" s="10"/>
      <c r="B20" s="10"/>
      <c r="C20" s="10"/>
      <c r="D20" s="10"/>
      <c r="E20" s="17"/>
      <c r="F20" s="10"/>
      <c r="G20" s="10"/>
      <c r="H20" s="10"/>
    </row>
    <row r="21" ht="15" customHeight="1" spans="1:8">
      <c r="A21" s="10"/>
      <c r="B21" s="10"/>
      <c r="C21" s="10"/>
      <c r="D21" s="10"/>
      <c r="E21" s="17"/>
      <c r="F21" s="10"/>
      <c r="G21" s="10"/>
      <c r="H21" s="10"/>
    </row>
    <row r="22" ht="15" customHeight="1" spans="1:8">
      <c r="A22" s="10"/>
      <c r="B22" s="10"/>
      <c r="C22" s="10"/>
      <c r="D22" s="10"/>
      <c r="E22" s="17"/>
      <c r="F22" s="10"/>
      <c r="G22" s="10"/>
      <c r="H22" s="10"/>
    </row>
    <row r="23" ht="15" customHeight="1" spans="1:8">
      <c r="A23" s="10"/>
      <c r="B23" s="10"/>
      <c r="C23" s="10"/>
      <c r="D23" s="10"/>
      <c r="E23" s="17"/>
      <c r="F23" s="10"/>
      <c r="G23" s="10"/>
      <c r="H23" s="10"/>
    </row>
    <row r="24" ht="15" customHeight="1" spans="1:8">
      <c r="A24" s="10"/>
      <c r="B24" s="10"/>
      <c r="C24" s="10"/>
      <c r="D24" s="10"/>
      <c r="E24" s="17"/>
      <c r="F24" s="10"/>
      <c r="G24" s="10"/>
      <c r="H24" s="10"/>
    </row>
    <row r="25" ht="15" customHeight="1" spans="1:8">
      <c r="A25" s="10"/>
      <c r="B25" s="10"/>
      <c r="C25" s="10"/>
      <c r="D25" s="10"/>
      <c r="E25" s="17"/>
      <c r="F25" s="10"/>
      <c r="G25" s="10"/>
      <c r="H25" s="10"/>
    </row>
    <row r="26" ht="15" customHeight="1" spans="1:8">
      <c r="A26" s="10"/>
      <c r="B26" s="10"/>
      <c r="C26" s="10"/>
      <c r="D26" s="10"/>
      <c r="E26" s="17"/>
      <c r="F26" s="10"/>
      <c r="G26" s="10"/>
      <c r="H26" s="10"/>
    </row>
    <row r="27" ht="15" customHeight="1" spans="1:8">
      <c r="A27" s="10"/>
      <c r="B27" s="10"/>
      <c r="C27" s="10"/>
      <c r="D27" s="10"/>
      <c r="E27" s="17"/>
      <c r="F27" s="10"/>
      <c r="G27" s="10"/>
      <c r="H27" s="10"/>
    </row>
    <row r="28" ht="15" customHeight="1" spans="1:8">
      <c r="A28" s="10"/>
      <c r="B28" s="10"/>
      <c r="C28" s="10"/>
      <c r="D28" s="10"/>
      <c r="E28" s="17"/>
      <c r="F28" s="10"/>
      <c r="G28" s="10"/>
      <c r="H28" s="10"/>
    </row>
    <row r="29" ht="15" customHeight="1" spans="1:8">
      <c r="A29" s="10"/>
      <c r="B29" s="10"/>
      <c r="C29" s="10"/>
      <c r="D29" s="10"/>
      <c r="E29" s="17"/>
      <c r="F29" s="10"/>
      <c r="G29" s="10"/>
      <c r="H29" s="10"/>
    </row>
    <row r="30" ht="15" customHeight="1" spans="1:8">
      <c r="A30" s="10"/>
      <c r="B30" s="10"/>
      <c r="C30" s="10"/>
      <c r="D30" s="10"/>
      <c r="E30" s="17"/>
      <c r="F30" s="10"/>
      <c r="G30" s="10"/>
      <c r="H30" s="10"/>
    </row>
    <row r="31" ht="15" customHeight="1" spans="1:8">
      <c r="A31" s="10"/>
      <c r="B31" s="10"/>
      <c r="C31" s="10"/>
      <c r="D31" s="10"/>
      <c r="E31" s="17"/>
      <c r="F31" s="10"/>
      <c r="G31" s="10"/>
      <c r="H31" s="10"/>
    </row>
    <row r="32" ht="15" customHeight="1" spans="1:8">
      <c r="A32" s="10"/>
      <c r="B32" s="10"/>
      <c r="C32" s="10"/>
      <c r="D32" s="10"/>
      <c r="E32" s="17"/>
      <c r="F32" s="10"/>
      <c r="G32" s="10"/>
      <c r="H32" s="10"/>
    </row>
    <row r="33" ht="15" customHeight="1" spans="1:8">
      <c r="A33" s="10"/>
      <c r="B33" s="10"/>
      <c r="C33" s="10"/>
      <c r="D33" s="10"/>
      <c r="E33" s="17"/>
      <c r="F33" s="10"/>
      <c r="G33" s="10"/>
      <c r="H33" s="10"/>
    </row>
    <row r="34" ht="15" customHeight="1" spans="1:8">
      <c r="A34" s="10"/>
      <c r="B34" s="10"/>
      <c r="C34" s="10"/>
      <c r="D34" s="10"/>
      <c r="E34" s="17"/>
      <c r="F34" s="10"/>
      <c r="G34" s="10"/>
      <c r="H34" s="10"/>
    </row>
    <row r="35" ht="15" customHeight="1" spans="1:8">
      <c r="A35" s="10"/>
      <c r="B35" s="10"/>
      <c r="C35" s="10"/>
      <c r="D35" s="10"/>
      <c r="E35" s="17"/>
      <c r="F35" s="10"/>
      <c r="G35" s="10"/>
      <c r="H35" s="10"/>
    </row>
    <row r="36" ht="15" customHeight="1" spans="1:8">
      <c r="A36" s="10"/>
      <c r="B36" s="10"/>
      <c r="C36" s="10"/>
      <c r="D36" s="10"/>
      <c r="E36" s="17"/>
      <c r="F36" s="10"/>
      <c r="G36" s="10"/>
      <c r="H36" s="10"/>
    </row>
    <row r="37" ht="15" customHeight="1" spans="1:8">
      <c r="A37" s="10"/>
      <c r="B37" s="10"/>
      <c r="C37" s="10"/>
      <c r="D37" s="10"/>
      <c r="E37" s="17"/>
      <c r="F37" s="10"/>
      <c r="G37" s="10"/>
      <c r="H37" s="10"/>
    </row>
    <row r="38" ht="15" customHeight="1" spans="1:8">
      <c r="A38" s="10"/>
      <c r="B38" s="10"/>
      <c r="C38" s="10"/>
      <c r="D38" s="10"/>
      <c r="E38" s="17"/>
      <c r="F38" s="10"/>
      <c r="G38" s="10"/>
      <c r="H38" s="10"/>
    </row>
    <row r="39" ht="15" customHeight="1" spans="1:8">
      <c r="A39" s="10"/>
      <c r="B39" s="10"/>
      <c r="C39" s="10"/>
      <c r="D39" s="10"/>
      <c r="E39" s="17"/>
      <c r="F39" s="10"/>
      <c r="G39" s="10"/>
      <c r="H39" s="10"/>
    </row>
    <row r="40" ht="15" customHeight="1" spans="1:8">
      <c r="A40" s="10"/>
      <c r="B40" s="10"/>
      <c r="C40" s="10"/>
      <c r="D40" s="10"/>
      <c r="E40" s="17"/>
      <c r="F40" s="10"/>
      <c r="G40" s="10"/>
      <c r="H40" s="10"/>
    </row>
    <row r="42" ht="15" customHeight="1" spans="1:8">
      <c r="A42" s="12" t="s">
        <v>123</v>
      </c>
      <c r="B42" s="12"/>
      <c r="C42" s="12"/>
      <c r="D42" s="12"/>
      <c r="E42" s="12"/>
      <c r="F42" s="12"/>
      <c r="G42" s="12"/>
      <c r="H42" s="12"/>
    </row>
  </sheetData>
  <mergeCells count="3">
    <mergeCell ref="A1:H1"/>
    <mergeCell ref="A2:H2"/>
    <mergeCell ref="A42:H42"/>
  </mergeCells>
  <dataValidations count="1">
    <dataValidation type="list" allowBlank="1" sqref="C6:C40">
      <formula1>"Upwork,Fiverr,Direct,Referral,Other"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pane ySplit="5" topLeftCell="A6" activePane="bottomLeft" state="frozen"/>
      <selection/>
      <selection pane="bottomLeft" activeCell="A1" sqref="A1:G1"/>
    </sheetView>
  </sheetViews>
  <sheetFormatPr defaultColWidth="8.67592592592593" defaultRowHeight="14.4"/>
  <cols>
    <col min="1" max="1" width="14" style="5" customWidth="1"/>
    <col min="2" max="2" width="30" style="5" customWidth="1"/>
    <col min="3" max="3" width="10" style="5" customWidth="1"/>
    <col min="4" max="4" width="16" style="5" customWidth="1"/>
    <col min="5" max="5" width="12" style="5" customWidth="1"/>
    <col min="6" max="6" width="14" style="5" customWidth="1"/>
    <col min="7" max="7" width="24" style="5" customWidth="1"/>
    <col min="9" max="9" width="12" customWidth="1"/>
  </cols>
  <sheetData>
    <row r="1" ht="24" customHeight="1" spans="1:9">
      <c r="A1" s="6" t="s">
        <v>124</v>
      </c>
      <c r="B1" s="6"/>
      <c r="C1" s="6"/>
      <c r="D1" s="6"/>
      <c r="E1" s="6"/>
      <c r="F1" s="6"/>
      <c r="G1" s="6"/>
    </row>
    <row r="2" ht="15" customHeight="1" spans="1:9">
      <c r="A2" s="7" t="s">
        <v>125</v>
      </c>
      <c r="B2" s="7"/>
      <c r="C2" s="7"/>
      <c r="D2" s="7"/>
      <c r="E2" s="7"/>
      <c r="F2" s="7"/>
      <c r="G2" s="7"/>
    </row>
    <row r="3" ht="15" customHeight="1" spans="1:9">
      <c r="A3" s="8"/>
      <c r="B3" s="8"/>
      <c r="C3" s="8"/>
      <c r="D3" s="8"/>
      <c r="E3" s="8"/>
      <c r="F3" s="8"/>
      <c r="G3" s="8"/>
    </row>
    <row r="4" ht="15.15"/>
    <row r="5" ht="25.5" customHeight="1" spans="1:9">
      <c r="A5" s="9" t="s">
        <v>29</v>
      </c>
      <c r="B5" s="9" t="s">
        <v>126</v>
      </c>
      <c r="C5" s="9" t="s">
        <v>127</v>
      </c>
      <c r="D5" s="9" t="s">
        <v>128</v>
      </c>
      <c r="E5" s="9" t="s">
        <v>129</v>
      </c>
      <c r="F5" s="9" t="s">
        <v>130</v>
      </c>
      <c r="G5" s="9" t="s">
        <v>116</v>
      </c>
      <c r="I5" s="13" t="s">
        <v>131</v>
      </c>
    </row>
    <row r="6" ht="15" customHeight="1" spans="1:9">
      <c r="A6" s="10" t="s">
        <v>31</v>
      </c>
      <c r="B6" s="10" t="s">
        <v>132</v>
      </c>
      <c r="C6" s="10" t="s">
        <v>133</v>
      </c>
      <c r="D6" s="10" t="s">
        <v>134</v>
      </c>
      <c r="E6" s="10" t="s">
        <v>135</v>
      </c>
      <c r="F6" s="10" t="s">
        <v>53</v>
      </c>
      <c r="G6" s="10" t="s">
        <v>136</v>
      </c>
      <c r="I6" s="14">
        <f>IFERROR(MATCH($C6,{"Low","Medium","High","Urgent"},0),"")</f>
        <v>3</v>
      </c>
    </row>
    <row r="7" ht="15" customHeight="1" spans="1:9">
      <c r="A7" s="10"/>
      <c r="B7" s="10"/>
      <c r="C7" s="10"/>
      <c r="D7" s="10"/>
      <c r="E7" s="10"/>
      <c r="F7" s="10"/>
      <c r="G7" s="10"/>
      <c r="I7" s="14" t="str">
        <f>IFERROR(MATCH($C7,{"Low","Medium","High","Urgent"},0),"")</f>
        <v/>
      </c>
    </row>
    <row r="8" ht="15" customHeight="1" spans="1:9">
      <c r="A8" s="10"/>
      <c r="B8" s="10"/>
      <c r="C8" s="10"/>
      <c r="D8" s="10"/>
      <c r="E8" s="10"/>
      <c r="F8" s="10"/>
      <c r="G8" s="10"/>
      <c r="I8" s="14" t="str">
        <f>IFERROR(MATCH($C8,{"Low","Medium","High","Urgent"},0),"")</f>
        <v/>
      </c>
    </row>
    <row r="9" ht="15" customHeight="1" spans="1:9">
      <c r="A9" s="10"/>
      <c r="B9" s="10"/>
      <c r="C9" s="10"/>
      <c r="D9" s="10"/>
      <c r="E9" s="10"/>
      <c r="F9" s="10"/>
      <c r="G9" s="10"/>
      <c r="I9" s="14" t="str">
        <f>IFERROR(MATCH($C9,{"Low","Medium","High","Urgent"},0),"")</f>
        <v/>
      </c>
    </row>
    <row r="10" ht="15" customHeight="1" spans="1:9">
      <c r="A10" s="10"/>
      <c r="B10" s="10"/>
      <c r="C10" s="10"/>
      <c r="D10" s="10"/>
      <c r="E10" s="10"/>
      <c r="F10" s="10"/>
      <c r="G10" s="10"/>
      <c r="I10" s="14" t="str">
        <f>IFERROR(MATCH($C10,{"Low","Medium","High","Urgent"},0),"")</f>
        <v/>
      </c>
    </row>
    <row r="11" ht="15" customHeight="1" spans="1:9">
      <c r="A11" s="10"/>
      <c r="B11" s="10"/>
      <c r="C11" s="10"/>
      <c r="D11" s="10"/>
      <c r="E11" s="10"/>
      <c r="F11" s="10"/>
      <c r="G11" s="10"/>
      <c r="I11" s="14" t="str">
        <f>IFERROR(MATCH($C11,{"Low","Medium","High","Urgent"},0),"")</f>
        <v/>
      </c>
    </row>
    <row r="12" ht="15" customHeight="1" spans="1:9">
      <c r="A12" s="10"/>
      <c r="B12" s="10"/>
      <c r="C12" s="10"/>
      <c r="D12" s="10"/>
      <c r="E12" s="10"/>
      <c r="F12" s="10"/>
      <c r="G12" s="10"/>
      <c r="I12" s="14" t="str">
        <f>IFERROR(MATCH($C12,{"Low","Medium","High","Urgent"},0),"")</f>
        <v/>
      </c>
    </row>
    <row r="13" ht="15" customHeight="1" spans="1:9">
      <c r="A13" s="10"/>
      <c r="B13" s="10"/>
      <c r="C13" s="10"/>
      <c r="D13" s="10"/>
      <c r="E13" s="10"/>
      <c r="F13" s="10"/>
      <c r="G13" s="10"/>
      <c r="I13" s="14" t="str">
        <f>IFERROR(MATCH($C13,{"Low","Medium","High","Urgent"},0),"")</f>
        <v/>
      </c>
    </row>
    <row r="14" ht="15" customHeight="1" spans="1:9">
      <c r="A14" s="10"/>
      <c r="B14" s="10"/>
      <c r="C14" s="10"/>
      <c r="D14" s="10"/>
      <c r="E14" s="10"/>
      <c r="F14" s="10"/>
      <c r="G14" s="10"/>
      <c r="I14" s="14" t="str">
        <f>IFERROR(MATCH($C14,{"Low","Medium","High","Urgent"},0),"")</f>
        <v/>
      </c>
    </row>
    <row r="15" ht="15" customHeight="1" spans="1:9">
      <c r="A15" s="10"/>
      <c r="B15" s="10"/>
      <c r="C15" s="10"/>
      <c r="D15" s="10"/>
      <c r="E15" s="10"/>
      <c r="F15" s="10"/>
      <c r="G15" s="10"/>
      <c r="I15" s="14" t="str">
        <f>IFERROR(MATCH($C15,{"Low","Medium","High","Urgent"},0),"")</f>
        <v/>
      </c>
    </row>
    <row r="16" ht="15" customHeight="1" spans="1:9">
      <c r="A16" s="10"/>
      <c r="B16" s="10"/>
      <c r="C16" s="10"/>
      <c r="D16" s="10"/>
      <c r="E16" s="10"/>
      <c r="F16" s="10"/>
      <c r="G16" s="10"/>
      <c r="I16" s="14" t="str">
        <f>IFERROR(MATCH($C16,{"Low","Medium","High","Urgent"},0),"")</f>
        <v/>
      </c>
    </row>
    <row r="17" ht="15" customHeight="1" spans="1:9">
      <c r="A17" s="10"/>
      <c r="B17" s="10"/>
      <c r="C17" s="10"/>
      <c r="D17" s="10"/>
      <c r="E17" s="10"/>
      <c r="F17" s="10"/>
      <c r="G17" s="10"/>
      <c r="I17" s="14" t="str">
        <f>IFERROR(MATCH($C17,{"Low","Medium","High","Urgent"},0),"")</f>
        <v/>
      </c>
    </row>
    <row r="18" ht="15" customHeight="1" spans="1:9">
      <c r="A18" s="10"/>
      <c r="B18" s="10"/>
      <c r="C18" s="10"/>
      <c r="D18" s="10"/>
      <c r="E18" s="10"/>
      <c r="F18" s="10"/>
      <c r="G18" s="10"/>
      <c r="I18" s="14" t="str">
        <f>IFERROR(MATCH($C18,{"Low","Medium","High","Urgent"},0),"")</f>
        <v/>
      </c>
    </row>
    <row r="19" ht="15" customHeight="1" spans="1:9">
      <c r="A19" s="10"/>
      <c r="B19" s="10"/>
      <c r="C19" s="10"/>
      <c r="D19" s="10"/>
      <c r="E19" s="10"/>
      <c r="F19" s="10"/>
      <c r="G19" s="10"/>
      <c r="I19" s="14" t="str">
        <f>IFERROR(MATCH($C19,{"Low","Medium","High","Urgent"},0),"")</f>
        <v/>
      </c>
    </row>
    <row r="20" ht="15" customHeight="1" spans="1:9">
      <c r="A20" s="10"/>
      <c r="B20" s="10"/>
      <c r="C20" s="10"/>
      <c r="D20" s="10"/>
      <c r="E20" s="10"/>
      <c r="F20" s="10"/>
      <c r="G20" s="10"/>
      <c r="I20" s="14" t="str">
        <f>IFERROR(MATCH($C20,{"Low","Medium","High","Urgent"},0),"")</f>
        <v/>
      </c>
    </row>
    <row r="21" ht="15" customHeight="1" spans="1:9">
      <c r="A21" s="10"/>
      <c r="B21" s="10"/>
      <c r="C21" s="10"/>
      <c r="D21" s="10"/>
      <c r="E21" s="10"/>
      <c r="F21" s="10"/>
      <c r="G21" s="10"/>
      <c r="I21" s="14" t="str">
        <f>IFERROR(MATCH($C21,{"Low","Medium","High","Urgent"},0),"")</f>
        <v/>
      </c>
    </row>
    <row r="22" ht="15" customHeight="1" spans="1:9">
      <c r="A22" s="10"/>
      <c r="B22" s="10"/>
      <c r="C22" s="10"/>
      <c r="D22" s="10"/>
      <c r="E22" s="10"/>
      <c r="F22" s="10"/>
      <c r="G22" s="10"/>
      <c r="I22" s="14" t="str">
        <f>IFERROR(MATCH($C22,{"Low","Medium","High","Urgent"},0),"")</f>
        <v/>
      </c>
    </row>
    <row r="23" ht="15" customHeight="1" spans="1:9">
      <c r="A23" s="10"/>
      <c r="B23" s="10"/>
      <c r="C23" s="10"/>
      <c r="D23" s="10"/>
      <c r="E23" s="10"/>
      <c r="F23" s="10"/>
      <c r="G23" s="10"/>
      <c r="I23" s="14" t="str">
        <f>IFERROR(MATCH($C23,{"Low","Medium","High","Urgent"},0),"")</f>
        <v/>
      </c>
    </row>
    <row r="24" ht="15" customHeight="1" spans="1:9">
      <c r="A24" s="10"/>
      <c r="B24" s="10"/>
      <c r="C24" s="10"/>
      <c r="D24" s="10"/>
      <c r="E24" s="10"/>
      <c r="F24" s="10"/>
      <c r="G24" s="10"/>
      <c r="I24" s="14" t="str">
        <f>IFERROR(MATCH($C24,{"Low","Medium","High","Urgent"},0),"")</f>
        <v/>
      </c>
    </row>
    <row r="25" ht="15" customHeight="1" spans="1:9">
      <c r="A25" s="10"/>
      <c r="B25" s="10"/>
      <c r="C25" s="10"/>
      <c r="D25" s="10"/>
      <c r="E25" s="10"/>
      <c r="F25" s="10"/>
      <c r="G25" s="10"/>
      <c r="I25" s="14" t="str">
        <f>IFERROR(MATCH($C25,{"Low","Medium","High","Urgent"},0),"")</f>
        <v/>
      </c>
    </row>
    <row r="26" ht="15" customHeight="1" spans="1:9">
      <c r="A26" s="10"/>
      <c r="B26" s="10"/>
      <c r="C26" s="10"/>
      <c r="D26" s="10"/>
      <c r="E26" s="10"/>
      <c r="F26" s="10"/>
      <c r="G26" s="10"/>
      <c r="I26" s="14" t="str">
        <f>IFERROR(MATCH($C26,{"Low","Medium","High","Urgent"},0),"")</f>
        <v/>
      </c>
    </row>
    <row r="27" ht="15" customHeight="1" spans="1:9">
      <c r="A27" s="10"/>
      <c r="B27" s="10"/>
      <c r="C27" s="10"/>
      <c r="D27" s="10"/>
      <c r="E27" s="10"/>
      <c r="F27" s="10"/>
      <c r="G27" s="10"/>
      <c r="I27" s="14" t="str">
        <f>IFERROR(MATCH($C27,{"Low","Medium","High","Urgent"},0),"")</f>
        <v/>
      </c>
    </row>
    <row r="28" ht="15" customHeight="1" spans="1:9">
      <c r="A28" s="10"/>
      <c r="B28" s="10"/>
      <c r="C28" s="10"/>
      <c r="D28" s="10"/>
      <c r="E28" s="10"/>
      <c r="F28" s="10"/>
      <c r="G28" s="10"/>
      <c r="I28" s="14" t="str">
        <f>IFERROR(MATCH($C28,{"Low","Medium","High","Urgent"},0),"")</f>
        <v/>
      </c>
    </row>
    <row r="29" ht="15" customHeight="1" spans="1:9">
      <c r="A29" s="10"/>
      <c r="B29" s="10"/>
      <c r="C29" s="10"/>
      <c r="D29" s="10"/>
      <c r="E29" s="10"/>
      <c r="F29" s="10"/>
      <c r="G29" s="10"/>
      <c r="I29" s="14" t="str">
        <f>IFERROR(MATCH($C29,{"Low","Medium","High","Urgent"},0),"")</f>
        <v/>
      </c>
    </row>
    <row r="30" ht="15" customHeight="1" spans="1:9">
      <c r="A30" s="10"/>
      <c r="B30" s="10"/>
      <c r="C30" s="10"/>
      <c r="D30" s="10"/>
      <c r="E30" s="10"/>
      <c r="F30" s="10"/>
      <c r="G30" s="10"/>
      <c r="I30" s="14" t="str">
        <f>IFERROR(MATCH($C30,{"Low","Medium","High","Urgent"},0),"")</f>
        <v/>
      </c>
    </row>
    <row r="31" ht="15" customHeight="1" spans="1:9">
      <c r="A31" s="10"/>
      <c r="B31" s="10"/>
      <c r="C31" s="10"/>
      <c r="D31" s="10"/>
      <c r="E31" s="10"/>
      <c r="F31" s="10"/>
      <c r="G31" s="10"/>
      <c r="I31" s="14" t="str">
        <f>IFERROR(MATCH($C31,{"Low","Medium","High","Urgent"},0),"")</f>
        <v/>
      </c>
    </row>
    <row r="32" ht="15" customHeight="1" spans="1:9">
      <c r="A32" s="10"/>
      <c r="B32" s="10"/>
      <c r="C32" s="10"/>
      <c r="D32" s="10"/>
      <c r="E32" s="10"/>
      <c r="F32" s="10"/>
      <c r="G32" s="10"/>
      <c r="I32" s="14" t="str">
        <f>IFERROR(MATCH($C32,{"Low","Medium","High","Urgent"},0),"")</f>
        <v/>
      </c>
    </row>
    <row r="33" ht="15" customHeight="1" spans="1:9">
      <c r="A33" s="10"/>
      <c r="B33" s="10"/>
      <c r="C33" s="10"/>
      <c r="D33" s="10"/>
      <c r="E33" s="10"/>
      <c r="F33" s="10"/>
      <c r="G33" s="10"/>
      <c r="I33" s="14" t="str">
        <f>IFERROR(MATCH($C33,{"Low","Medium","High","Urgent"},0),"")</f>
        <v/>
      </c>
    </row>
    <row r="34" ht="15" customHeight="1" spans="1:9">
      <c r="A34" s="10"/>
      <c r="B34" s="10"/>
      <c r="C34" s="10"/>
      <c r="D34" s="10"/>
      <c r="E34" s="10"/>
      <c r="F34" s="10"/>
      <c r="G34" s="10"/>
      <c r="I34" s="14" t="str">
        <f>IFERROR(MATCH($C34,{"Low","Medium","High","Urgent"},0),"")</f>
        <v/>
      </c>
    </row>
    <row r="35" ht="15" customHeight="1" spans="1:9">
      <c r="A35" s="10"/>
      <c r="B35" s="10"/>
      <c r="C35" s="10"/>
      <c r="D35" s="10"/>
      <c r="E35" s="10"/>
      <c r="F35" s="10"/>
      <c r="G35" s="10"/>
      <c r="I35" s="14" t="str">
        <f>IFERROR(MATCH($C35,{"Low","Medium","High","Urgent"},0),"")</f>
        <v/>
      </c>
    </row>
    <row r="36" ht="15" customHeight="1" spans="1:9">
      <c r="A36" s="10"/>
      <c r="B36" s="10"/>
      <c r="C36" s="10"/>
      <c r="D36" s="10"/>
      <c r="E36" s="10"/>
      <c r="F36" s="10"/>
      <c r="G36" s="10"/>
      <c r="I36" s="14" t="str">
        <f>IFERROR(MATCH($C36,{"Low","Medium","High","Urgent"},0),"")</f>
        <v/>
      </c>
    </row>
    <row r="37" ht="15" customHeight="1" spans="1:9">
      <c r="A37" s="10"/>
      <c r="B37" s="10"/>
      <c r="C37" s="10"/>
      <c r="D37" s="10"/>
      <c r="E37" s="10"/>
      <c r="F37" s="10"/>
      <c r="G37" s="10"/>
      <c r="I37" s="14" t="str">
        <f>IFERROR(MATCH($C37,{"Low","Medium","High","Urgent"},0),"")</f>
        <v/>
      </c>
    </row>
    <row r="38" ht="15" customHeight="1" spans="1:9">
      <c r="A38" s="10"/>
      <c r="B38" s="10"/>
      <c r="C38" s="10"/>
      <c r="D38" s="10"/>
      <c r="E38" s="10"/>
      <c r="F38" s="10"/>
      <c r="G38" s="10"/>
      <c r="I38" s="14" t="str">
        <f>IFERROR(MATCH($C38,{"Low","Medium","High","Urgent"},0),"")</f>
        <v/>
      </c>
    </row>
    <row r="39" ht="15" customHeight="1" spans="1:9">
      <c r="A39" s="10"/>
      <c r="B39" s="10"/>
      <c r="C39" s="10"/>
      <c r="D39" s="10"/>
      <c r="E39" s="10"/>
      <c r="F39" s="10"/>
      <c r="G39" s="10"/>
      <c r="I39" s="14" t="str">
        <f>IFERROR(MATCH($C39,{"Low","Medium","High","Urgent"},0),"")</f>
        <v/>
      </c>
    </row>
    <row r="40" ht="15" customHeight="1" spans="1:9">
      <c r="A40" s="10"/>
      <c r="B40" s="10"/>
      <c r="C40" s="10"/>
      <c r="D40" s="10"/>
      <c r="E40" s="10"/>
      <c r="F40" s="10"/>
      <c r="G40" s="10"/>
      <c r="I40" s="14" t="str">
        <f>IFERROR(MATCH($C40,{"Low","Medium","High","Urgent"},0),"")</f>
        <v/>
      </c>
    </row>
    <row r="43" ht="15" customHeight="1" spans="1:9">
      <c r="A43" s="15" t="s">
        <v>137</v>
      </c>
    </row>
    <row r="44" ht="15" customHeight="1" spans="1:9">
      <c r="A44" s="16" t="s">
        <v>138</v>
      </c>
      <c r="B44" s="16">
        <f>COUNTIF($D$6:$D$40,"To Do")</f>
        <v>0</v>
      </c>
    </row>
    <row r="45" ht="15" customHeight="1" spans="1:9">
      <c r="A45" s="16" t="s">
        <v>134</v>
      </c>
      <c r="B45" s="16">
        <f>COUNTIF($D$6:$D$40,"In Progress")</f>
        <v>1</v>
      </c>
    </row>
    <row r="46" ht="15" customHeight="1" spans="1:9">
      <c r="A46" s="16" t="s">
        <v>139</v>
      </c>
      <c r="B46" s="16">
        <f>COUNTIF($D$6:$D$40,"Waiting on Client")</f>
        <v>0</v>
      </c>
    </row>
    <row r="47" ht="15" customHeight="1" spans="1:9">
      <c r="A47" s="16" t="s">
        <v>140</v>
      </c>
      <c r="B47" s="16">
        <f>COUNTIF($D$6:$D$40,"Done")</f>
        <v>0</v>
      </c>
    </row>
    <row r="49" ht="15" customHeight="1" spans="1:7">
      <c r="A49" s="12" t="s">
        <v>141</v>
      </c>
      <c r="B49" s="12"/>
      <c r="C49" s="12"/>
      <c r="D49" s="12"/>
      <c r="E49" s="12"/>
      <c r="F49" s="12"/>
      <c r="G49" s="12"/>
    </row>
  </sheetData>
  <mergeCells count="3">
    <mergeCell ref="A1:G1"/>
    <mergeCell ref="A2:G2"/>
    <mergeCell ref="A49:G49"/>
  </mergeCells>
  <conditionalFormatting sqref="C6:C40">
    <cfRule type="expression" dxfId="4" priority="3">
      <formula>$C6="Urgent"</formula>
    </cfRule>
  </conditionalFormatting>
  <conditionalFormatting sqref="I6:I40">
    <cfRule type="iconSet" priority="4">
      <iconSet iconSet="3TrafficLights1" showValue="0">
        <cfvo type="num" val="0"/>
        <cfvo type="num" val="2"/>
        <cfvo type="num" val="3"/>
      </iconSet>
    </cfRule>
  </conditionalFormatting>
  <conditionalFormatting sqref="A6:G40">
    <cfRule type="expression" dxfId="5" priority="2">
      <formula>AND($E6&lt;TODAY(),$E6&lt;&gt;"",$D6&lt;&gt;"Done")</formula>
    </cfRule>
  </conditionalFormatting>
  <dataValidations count="2">
    <dataValidation type="list" allowBlank="1" sqref="C6:C40">
      <formula1>"Low,Medium,High,Urgent"</formula1>
    </dataValidation>
    <dataValidation type="list" allowBlank="1" sqref="D6:D40">
      <formula1>"To Do,In Progress,Waiting on Client,Done"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ySplit="5" topLeftCell="A6" activePane="bottomLeft" state="frozen"/>
      <selection/>
      <selection pane="bottomLeft" activeCell="A1" sqref="A1:H1"/>
    </sheetView>
  </sheetViews>
  <sheetFormatPr defaultColWidth="8.67592592592593" defaultRowHeight="14.4" outlineLevelCol="7"/>
  <cols>
    <col min="1" max="1" width="12" style="5" customWidth="1"/>
    <col min="2" max="2" width="14" style="5" customWidth="1"/>
    <col min="3" max="3" width="12" style="5" customWidth="1"/>
    <col min="4" max="4" width="14" style="5" customWidth="1"/>
    <col min="5" max="5" width="30" style="5" customWidth="1"/>
    <col min="6" max="6" width="14" style="5" customWidth="1"/>
    <col min="7" max="7" width="12" style="5" customWidth="1"/>
    <col min="8" max="8" width="24" style="5" customWidth="1"/>
  </cols>
  <sheetData>
    <row r="1" ht="24" customHeight="1" spans="1:8">
      <c r="A1" s="6" t="s">
        <v>142</v>
      </c>
      <c r="B1" s="6"/>
      <c r="C1" s="6"/>
      <c r="D1" s="6"/>
      <c r="E1" s="6"/>
      <c r="F1" s="6"/>
      <c r="G1" s="6"/>
      <c r="H1" s="6"/>
    </row>
    <row r="2" ht="15" customHeight="1" spans="1:8">
      <c r="A2" s="7" t="s">
        <v>143</v>
      </c>
      <c r="B2" s="7"/>
      <c r="C2" s="7"/>
      <c r="D2" s="7"/>
      <c r="E2" s="7"/>
      <c r="F2" s="7"/>
      <c r="G2" s="7"/>
      <c r="H2" s="7"/>
    </row>
    <row r="3" ht="15" customHeight="1" spans="1:8">
      <c r="A3" s="8"/>
      <c r="B3" s="8"/>
      <c r="C3" s="8"/>
      <c r="D3" s="8"/>
      <c r="E3" s="8"/>
      <c r="F3" s="8"/>
      <c r="G3" s="8"/>
      <c r="H3" s="8"/>
    </row>
    <row r="4" ht="15.15"/>
    <row r="5" ht="25.5" customHeight="1" spans="1:8">
      <c r="A5" s="9" t="s">
        <v>47</v>
      </c>
      <c r="B5" s="9" t="s">
        <v>29</v>
      </c>
      <c r="C5" s="9" t="s">
        <v>112</v>
      </c>
      <c r="D5" s="9" t="s">
        <v>144</v>
      </c>
      <c r="E5" s="9" t="s">
        <v>145</v>
      </c>
      <c r="F5" s="9" t="s">
        <v>128</v>
      </c>
      <c r="G5" s="9" t="s">
        <v>146</v>
      </c>
      <c r="H5" s="9" t="s">
        <v>116</v>
      </c>
    </row>
    <row r="6" ht="15" customHeight="1" spans="1:8">
      <c r="A6" s="10" t="s">
        <v>53</v>
      </c>
      <c r="B6" s="10" t="s">
        <v>31</v>
      </c>
      <c r="C6" s="10" t="s">
        <v>147</v>
      </c>
      <c r="D6" s="10" t="s">
        <v>148</v>
      </c>
      <c r="E6" s="10" t="s">
        <v>149</v>
      </c>
      <c r="F6" s="10" t="s">
        <v>150</v>
      </c>
      <c r="G6" s="11" t="s">
        <v>151</v>
      </c>
      <c r="H6" s="10" t="s">
        <v>152</v>
      </c>
    </row>
    <row r="7" ht="15" customHeight="1" spans="1:8">
      <c r="A7" s="10"/>
      <c r="B7" s="10"/>
      <c r="C7" s="10"/>
      <c r="D7" s="10"/>
      <c r="E7" s="10"/>
      <c r="F7" s="10"/>
      <c r="G7" s="11"/>
      <c r="H7" s="10"/>
    </row>
    <row r="8" ht="15" customHeight="1" spans="1:8">
      <c r="A8" s="10"/>
      <c r="B8" s="10"/>
      <c r="C8" s="10"/>
      <c r="D8" s="10"/>
      <c r="E8" s="10"/>
      <c r="F8" s="10"/>
      <c r="G8" s="11"/>
      <c r="H8" s="10"/>
    </row>
    <row r="9" ht="15" customHeight="1" spans="1:8">
      <c r="A9" s="10"/>
      <c r="B9" s="10"/>
      <c r="C9" s="10"/>
      <c r="D9" s="10"/>
      <c r="E9" s="10"/>
      <c r="F9" s="10"/>
      <c r="G9" s="11"/>
      <c r="H9" s="10"/>
    </row>
    <row r="10" ht="15" customHeight="1" spans="1:8">
      <c r="A10" s="10"/>
      <c r="B10" s="10"/>
      <c r="C10" s="10"/>
      <c r="D10" s="10"/>
      <c r="E10" s="10"/>
      <c r="F10" s="10"/>
      <c r="G10" s="11"/>
      <c r="H10" s="10"/>
    </row>
    <row r="11" ht="15" customHeight="1" spans="1:8">
      <c r="A11" s="10"/>
      <c r="B11" s="10"/>
      <c r="C11" s="10"/>
      <c r="D11" s="10"/>
      <c r="E11" s="10"/>
      <c r="F11" s="10"/>
      <c r="G11" s="11"/>
      <c r="H11" s="10"/>
    </row>
    <row r="12" ht="15" customHeight="1" spans="1:8">
      <c r="A12" s="10"/>
      <c r="B12" s="10"/>
      <c r="C12" s="10"/>
      <c r="D12" s="10"/>
      <c r="E12" s="10"/>
      <c r="F12" s="10"/>
      <c r="G12" s="11"/>
      <c r="H12" s="10"/>
    </row>
    <row r="13" ht="15" customHeight="1" spans="1:8">
      <c r="A13" s="10"/>
      <c r="B13" s="10"/>
      <c r="C13" s="10"/>
      <c r="D13" s="10"/>
      <c r="E13" s="10"/>
      <c r="F13" s="10"/>
      <c r="G13" s="11"/>
      <c r="H13" s="10"/>
    </row>
    <row r="14" ht="15" customHeight="1" spans="1:8">
      <c r="A14" s="10"/>
      <c r="B14" s="10"/>
      <c r="C14" s="10"/>
      <c r="D14" s="10"/>
      <c r="E14" s="10"/>
      <c r="F14" s="10"/>
      <c r="G14" s="11"/>
      <c r="H14" s="10"/>
    </row>
    <row r="15" ht="15" customHeight="1" spans="1:8">
      <c r="A15" s="10"/>
      <c r="B15" s="10"/>
      <c r="C15" s="10"/>
      <c r="D15" s="10"/>
      <c r="E15" s="10"/>
      <c r="F15" s="10"/>
      <c r="G15" s="11"/>
      <c r="H15" s="10"/>
    </row>
    <row r="16" ht="15" customHeight="1" spans="1:8">
      <c r="A16" s="10"/>
      <c r="B16" s="10"/>
      <c r="C16" s="10"/>
      <c r="D16" s="10"/>
      <c r="E16" s="10"/>
      <c r="F16" s="10"/>
      <c r="G16" s="11"/>
      <c r="H16" s="10"/>
    </row>
    <row r="17" ht="15" customHeight="1" spans="1:8">
      <c r="A17" s="10"/>
      <c r="B17" s="10"/>
      <c r="C17" s="10"/>
      <c r="D17" s="10"/>
      <c r="E17" s="10"/>
      <c r="F17" s="10"/>
      <c r="G17" s="11"/>
      <c r="H17" s="10"/>
    </row>
    <row r="18" ht="15" customHeight="1" spans="1:8">
      <c r="A18" s="10"/>
      <c r="B18" s="10"/>
      <c r="C18" s="10"/>
      <c r="D18" s="10"/>
      <c r="E18" s="10"/>
      <c r="F18" s="10"/>
      <c r="G18" s="11"/>
      <c r="H18" s="10"/>
    </row>
    <row r="19" ht="15" customHeight="1" spans="1:8">
      <c r="A19" s="10"/>
      <c r="B19" s="10"/>
      <c r="C19" s="10"/>
      <c r="D19" s="10"/>
      <c r="E19" s="10"/>
      <c r="F19" s="10"/>
      <c r="G19" s="11"/>
      <c r="H19" s="10"/>
    </row>
    <row r="20" ht="15" customHeight="1" spans="1:8">
      <c r="A20" s="10"/>
      <c r="B20" s="10"/>
      <c r="C20" s="10"/>
      <c r="D20" s="10"/>
      <c r="E20" s="10"/>
      <c r="F20" s="10"/>
      <c r="G20" s="11"/>
      <c r="H20" s="10"/>
    </row>
    <row r="21" ht="15" customHeight="1" spans="1:8">
      <c r="A21" s="10"/>
      <c r="B21" s="10"/>
      <c r="C21" s="10"/>
      <c r="D21" s="10"/>
      <c r="E21" s="10"/>
      <c r="F21" s="10"/>
      <c r="G21" s="11"/>
      <c r="H21" s="10"/>
    </row>
    <row r="22" ht="15" customHeight="1" spans="1:8">
      <c r="A22" s="10"/>
      <c r="B22" s="10"/>
      <c r="C22" s="10"/>
      <c r="D22" s="10"/>
      <c r="E22" s="10"/>
      <c r="F22" s="10"/>
      <c r="G22" s="11"/>
      <c r="H22" s="10"/>
    </row>
    <row r="23" ht="15" customHeight="1" spans="1:8">
      <c r="A23" s="10"/>
      <c r="B23" s="10"/>
      <c r="C23" s="10"/>
      <c r="D23" s="10"/>
      <c r="E23" s="10"/>
      <c r="F23" s="10"/>
      <c r="G23" s="11"/>
      <c r="H23" s="10"/>
    </row>
    <row r="24" ht="15" customHeight="1" spans="1:8">
      <c r="A24" s="10"/>
      <c r="B24" s="10"/>
      <c r="C24" s="10"/>
      <c r="D24" s="10"/>
      <c r="E24" s="10"/>
      <c r="F24" s="10"/>
      <c r="G24" s="11"/>
      <c r="H24" s="10"/>
    </row>
    <row r="25" ht="15" customHeight="1" spans="1:8">
      <c r="A25" s="10"/>
      <c r="B25" s="10"/>
      <c r="C25" s="10"/>
      <c r="D25" s="10"/>
      <c r="E25" s="10"/>
      <c r="F25" s="10"/>
      <c r="G25" s="11"/>
      <c r="H25" s="10"/>
    </row>
    <row r="26" ht="15" customHeight="1" spans="1:8">
      <c r="A26" s="10"/>
      <c r="B26" s="10"/>
      <c r="C26" s="10"/>
      <c r="D26" s="10"/>
      <c r="E26" s="10"/>
      <c r="F26" s="10"/>
      <c r="G26" s="11"/>
      <c r="H26" s="10"/>
    </row>
    <row r="27" ht="15" customHeight="1" spans="1:8">
      <c r="A27" s="10"/>
      <c r="B27" s="10"/>
      <c r="C27" s="10"/>
      <c r="D27" s="10"/>
      <c r="E27" s="10"/>
      <c r="F27" s="10"/>
      <c r="G27" s="11"/>
      <c r="H27" s="10"/>
    </row>
    <row r="28" ht="15" customHeight="1" spans="1:8">
      <c r="A28" s="10"/>
      <c r="B28" s="10"/>
      <c r="C28" s="10"/>
      <c r="D28" s="10"/>
      <c r="E28" s="10"/>
      <c r="F28" s="10"/>
      <c r="G28" s="11"/>
      <c r="H28" s="10"/>
    </row>
    <row r="29" ht="15" customHeight="1" spans="1:8">
      <c r="A29" s="10"/>
      <c r="B29" s="10"/>
      <c r="C29" s="10"/>
      <c r="D29" s="10"/>
      <c r="E29" s="10"/>
      <c r="F29" s="10"/>
      <c r="G29" s="11"/>
      <c r="H29" s="10"/>
    </row>
    <row r="30" ht="15" customHeight="1" spans="1:8">
      <c r="A30" s="10"/>
      <c r="B30" s="10"/>
      <c r="C30" s="10"/>
      <c r="D30" s="10"/>
      <c r="E30" s="10"/>
      <c r="F30" s="10"/>
      <c r="G30" s="11"/>
      <c r="H30" s="10"/>
    </row>
    <row r="31" ht="15" customHeight="1" spans="1:8">
      <c r="A31" s="10"/>
      <c r="B31" s="10"/>
      <c r="C31" s="10"/>
      <c r="D31" s="10"/>
      <c r="E31" s="10"/>
      <c r="F31" s="10"/>
      <c r="G31" s="11"/>
      <c r="H31" s="10"/>
    </row>
    <row r="32" ht="15" customHeight="1" spans="1:8">
      <c r="A32" s="10"/>
      <c r="B32" s="10"/>
      <c r="C32" s="10"/>
      <c r="D32" s="10"/>
      <c r="E32" s="10"/>
      <c r="F32" s="10"/>
      <c r="G32" s="11"/>
      <c r="H32" s="10"/>
    </row>
    <row r="33" ht="15" customHeight="1" spans="1:8">
      <c r="A33" s="10"/>
      <c r="B33" s="10"/>
      <c r="C33" s="10"/>
      <c r="D33" s="10"/>
      <c r="E33" s="10"/>
      <c r="F33" s="10"/>
      <c r="G33" s="11"/>
      <c r="H33" s="10"/>
    </row>
    <row r="34" ht="15" customHeight="1" spans="1:8">
      <c r="A34" s="10"/>
      <c r="B34" s="10"/>
      <c r="C34" s="10"/>
      <c r="D34" s="10"/>
      <c r="E34" s="10"/>
      <c r="F34" s="10"/>
      <c r="G34" s="11"/>
      <c r="H34" s="10"/>
    </row>
    <row r="35" ht="15" customHeight="1" spans="1:8">
      <c r="A35" s="10"/>
      <c r="B35" s="10"/>
      <c r="C35" s="10"/>
      <c r="D35" s="10"/>
      <c r="E35" s="10"/>
      <c r="F35" s="10"/>
      <c r="G35" s="11"/>
      <c r="H35" s="10"/>
    </row>
    <row r="36" ht="15" customHeight="1" spans="1:8">
      <c r="A36" s="10"/>
      <c r="B36" s="10"/>
      <c r="C36" s="10"/>
      <c r="D36" s="10"/>
      <c r="E36" s="10"/>
      <c r="F36" s="10"/>
      <c r="G36" s="11"/>
      <c r="H36" s="10"/>
    </row>
    <row r="37" ht="15" customHeight="1" spans="1:8">
      <c r="A37" s="10"/>
      <c r="B37" s="10"/>
      <c r="C37" s="10"/>
      <c r="D37" s="10"/>
      <c r="E37" s="10"/>
      <c r="F37" s="10"/>
      <c r="G37" s="11"/>
      <c r="H37" s="10"/>
    </row>
    <row r="38" ht="15" customHeight="1" spans="1:8">
      <c r="A38" s="10"/>
      <c r="B38" s="10"/>
      <c r="C38" s="10"/>
      <c r="D38" s="10"/>
      <c r="E38" s="10"/>
      <c r="F38" s="10"/>
      <c r="G38" s="11"/>
      <c r="H38" s="10"/>
    </row>
    <row r="39" ht="15" customHeight="1" spans="1:8">
      <c r="A39" s="10"/>
      <c r="B39" s="10"/>
      <c r="C39" s="10"/>
      <c r="D39" s="10"/>
      <c r="E39" s="10"/>
      <c r="F39" s="10"/>
      <c r="G39" s="11"/>
      <c r="H39" s="10"/>
    </row>
    <row r="40" ht="15" customHeight="1" spans="1:8">
      <c r="A40" s="10"/>
      <c r="B40" s="10"/>
      <c r="C40" s="10"/>
      <c r="D40" s="10"/>
      <c r="E40" s="10"/>
      <c r="F40" s="10"/>
      <c r="G40" s="11"/>
      <c r="H40" s="10"/>
    </row>
    <row r="42" ht="15" customHeight="1" spans="1:8">
      <c r="A42" s="12" t="s">
        <v>153</v>
      </c>
      <c r="B42" s="12"/>
      <c r="C42" s="12"/>
      <c r="D42" s="12"/>
      <c r="E42" s="12"/>
      <c r="F42" s="12"/>
      <c r="G42" s="12"/>
      <c r="H42" s="12"/>
    </row>
  </sheetData>
  <mergeCells count="3">
    <mergeCell ref="A1:H1"/>
    <mergeCell ref="A2:H2"/>
    <mergeCell ref="A42:H42"/>
  </mergeCells>
  <dataValidations count="2">
    <dataValidation type="list" allowBlank="1" sqref="C6:C40">
      <formula1>"Instagram,Facebook,TikTok,LinkedIn,X/Twitter,YouTube"</formula1>
    </dataValidation>
    <dataValidation type="list" allowBlank="1" sqref="F6:F40">
      <formula1>"Idea,Drafted,Scheduled,Posted,Cancelled"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A1" sqref="A1:C1"/>
    </sheetView>
  </sheetViews>
  <sheetFormatPr defaultColWidth="8.67592592592593" defaultRowHeight="14.4" outlineLevelCol="2"/>
  <cols>
    <col min="1" max="1" width="22" customWidth="1"/>
    <col min="2" max="2" width="40" customWidth="1"/>
    <col min="3" max="3" width="10" customWidth="1"/>
  </cols>
  <sheetData>
    <row r="1" ht="22.8" spans="1:3">
      <c r="A1" s="1" t="s">
        <v>154</v>
      </c>
      <c r="B1" s="1"/>
      <c r="C1" s="1"/>
    </row>
    <row r="2" spans="1:3">
      <c r="A2" s="2" t="s">
        <v>155</v>
      </c>
      <c r="B2" s="2"/>
      <c r="C2" s="2"/>
    </row>
    <row r="4" spans="1:3">
      <c r="A4" s="3" t="s">
        <v>156</v>
      </c>
      <c r="B4" s="4" t="s">
        <v>157</v>
      </c>
    </row>
    <row r="5" spans="1:3">
      <c r="A5" s="3" t="s">
        <v>158</v>
      </c>
      <c r="B5" s="4" t="s">
        <v>159</v>
      </c>
    </row>
    <row r="6" spans="1:3">
      <c r="A6" s="3" t="s">
        <v>160</v>
      </c>
      <c r="B6" s="4" t="s">
        <v>161</v>
      </c>
    </row>
    <row r="7" spans="1:3">
      <c r="A7" s="3" t="s">
        <v>162</v>
      </c>
      <c r="B7" s="4">
        <v>15</v>
      </c>
    </row>
    <row r="8" spans="1:3">
      <c r="A8" s="3" t="s">
        <v>163</v>
      </c>
      <c r="B8" s="4" t="s">
        <v>164</v>
      </c>
    </row>
    <row r="9" spans="1:3">
      <c r="A9" s="3" t="s">
        <v>165</v>
      </c>
      <c r="B9" s="4" t="s">
        <v>166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Home</vt:lpstr>
      <vt:lpstr>Dashboard</vt:lpstr>
      <vt:lpstr>Timesheet</vt:lpstr>
      <vt:lpstr>Invoice</vt:lpstr>
      <vt:lpstr>Bookkeeping</vt:lpstr>
      <vt:lpstr>Client CRM</vt:lpstr>
      <vt:lpstr>Task Tracker</vt:lpstr>
      <vt:lpstr>Content Calendar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JohnJ</cp:lastModifiedBy>
  <cp:revision>2</cp:revision>
  <dcterms:created xsi:type="dcterms:W3CDTF">2026-07-11T01:33:00Z</dcterms:created>
  <dcterms:modified xsi:type="dcterms:W3CDTF">2026-07-11T01:43:18Z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682EDCEBF0004DA3B5B5702A41897A90_12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